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nsahs2\Downloads\"/>
    </mc:Choice>
  </mc:AlternateContent>
  <xr:revisionPtr revIDLastSave="0" documentId="13_ncr:1_{789FADBF-7011-4E42-84CF-379644139CB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wers" sheetId="1" r:id="rId1"/>
    <sheet name="Model" sheetId="2" r:id="rId2"/>
    <sheet name="Report" sheetId="3" r:id="rId3"/>
    <sheet name="Scenario Summary" sheetId="4" r:id="rId4"/>
    <sheet name="Months" sheetId="5" state="hidden" r:id="rId5"/>
  </sheets>
  <definedNames>
    <definedName name="Apt1_Rent">Model!$C$4</definedName>
    <definedName name="Apt2_Rent">Model!$C$12</definedName>
    <definedName name="Apt3_Rent">Model!$C$22</definedName>
    <definedName name="Monthlist">Months!$B$3:$B$14</definedName>
    <definedName name="Months">Months!$B$3:$C$14</definedName>
    <definedName name="_xlnm.Print_Area" localSheetId="2">Report!$A$1:$D$30</definedName>
    <definedName name="Refrigerator">Model!$C$8</definedName>
    <definedName name="Renovation_cost">Model!$C$19</definedName>
    <definedName name="Renovation_lenght">Model!$C$20</definedName>
    <definedName name="solver_opt" localSheetId="1">Model!$G$50</definedName>
    <definedName name="Starting_balance">Model!$C$37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C21" i="2"/>
  <c r="C20" i="2"/>
  <c r="R17" i="2"/>
  <c r="Q17" i="2"/>
  <c r="P17" i="2"/>
  <c r="O17" i="2"/>
  <c r="N17" i="2"/>
  <c r="M17" i="2"/>
  <c r="L17" i="2"/>
  <c r="K17" i="2"/>
  <c r="J17" i="2"/>
  <c r="I17" i="2"/>
  <c r="H17" i="2"/>
  <c r="G17" i="2"/>
  <c r="R16" i="2"/>
  <c r="Q16" i="2"/>
  <c r="P16" i="2"/>
  <c r="O16" i="2"/>
  <c r="N16" i="2"/>
  <c r="M16" i="2"/>
  <c r="L16" i="2"/>
  <c r="K16" i="2"/>
  <c r="J16" i="2"/>
  <c r="I16" i="2"/>
  <c r="H16" i="2"/>
  <c r="G16" i="2"/>
  <c r="R15" i="2"/>
  <c r="Q15" i="2"/>
  <c r="P15" i="2"/>
  <c r="O15" i="2"/>
  <c r="N15" i="2"/>
  <c r="M15" i="2"/>
  <c r="L15" i="2"/>
  <c r="K15" i="2"/>
  <c r="J15" i="2"/>
  <c r="I15" i="2"/>
  <c r="H15" i="2"/>
  <c r="G15" i="2"/>
  <c r="R14" i="2"/>
  <c r="Q14" i="2"/>
  <c r="P14" i="2"/>
  <c r="O14" i="2"/>
  <c r="N14" i="2"/>
  <c r="M14" i="2"/>
  <c r="L14" i="2"/>
  <c r="K14" i="2"/>
  <c r="J14" i="2"/>
  <c r="I14" i="2"/>
  <c r="H14" i="2"/>
  <c r="G14" i="2"/>
  <c r="R13" i="2"/>
  <c r="Q13" i="2"/>
  <c r="P13" i="2"/>
  <c r="O13" i="2"/>
  <c r="N13" i="2"/>
  <c r="M13" i="2"/>
  <c r="L13" i="2"/>
  <c r="K13" i="2"/>
  <c r="J13" i="2"/>
  <c r="I13" i="2"/>
  <c r="H13" i="2"/>
  <c r="G13" i="2"/>
  <c r="R12" i="2"/>
  <c r="Q12" i="2"/>
  <c r="P12" i="2"/>
  <c r="O12" i="2"/>
  <c r="N12" i="2"/>
  <c r="M12" i="2"/>
  <c r="L12" i="2"/>
  <c r="K12" i="2"/>
  <c r="J12" i="2"/>
  <c r="I12" i="2"/>
  <c r="H12" i="2"/>
  <c r="G12" i="2"/>
  <c r="R11" i="2"/>
  <c r="R18" i="2" s="1"/>
  <c r="Q11" i="2"/>
  <c r="Q18" i="2" s="1"/>
  <c r="P11" i="2"/>
  <c r="P18" i="2" s="1"/>
  <c r="O11" i="2"/>
  <c r="O18" i="2" s="1"/>
  <c r="N11" i="2"/>
  <c r="N18" i="2" s="1"/>
  <c r="M11" i="2"/>
  <c r="M18" i="2" s="1"/>
  <c r="L11" i="2"/>
  <c r="L18" i="2" s="1"/>
  <c r="K11" i="2"/>
  <c r="K18" i="2" s="1"/>
  <c r="J11" i="2"/>
  <c r="J18" i="2" s="1"/>
  <c r="I11" i="2"/>
  <c r="I18" i="2" s="1"/>
  <c r="H11" i="2"/>
  <c r="H18" i="2" s="1"/>
  <c r="G11" i="2"/>
  <c r="G18" i="2" s="1"/>
  <c r="R7" i="2"/>
  <c r="Q7" i="2"/>
  <c r="P7" i="2"/>
  <c r="O7" i="2"/>
  <c r="N7" i="2"/>
  <c r="M7" i="2"/>
  <c r="L7" i="2"/>
  <c r="K7" i="2"/>
  <c r="J7" i="2"/>
  <c r="I7" i="2"/>
  <c r="H7" i="2"/>
  <c r="G7" i="2"/>
  <c r="R6" i="2"/>
  <c r="Q6" i="2"/>
  <c r="P6" i="2"/>
  <c r="O6" i="2"/>
  <c r="N6" i="2"/>
  <c r="M6" i="2"/>
  <c r="L6" i="2"/>
  <c r="K6" i="2"/>
  <c r="J6" i="2"/>
  <c r="I6" i="2"/>
  <c r="H6" i="2"/>
  <c r="G6" i="2"/>
  <c r="R5" i="2"/>
  <c r="Q5" i="2"/>
  <c r="P5" i="2"/>
  <c r="O5" i="2"/>
  <c r="N5" i="2"/>
  <c r="M5" i="2"/>
  <c r="L5" i="2"/>
  <c r="K5" i="2"/>
  <c r="J5" i="2"/>
  <c r="I5" i="2"/>
  <c r="H5" i="2"/>
  <c r="G5" i="2"/>
  <c r="R4" i="2"/>
  <c r="R8" i="2" s="1"/>
  <c r="Q4" i="2"/>
  <c r="Q8" i="2" s="1"/>
  <c r="Q20" i="2" s="1"/>
  <c r="P4" i="2"/>
  <c r="P8" i="2" s="1"/>
  <c r="P20" i="2" s="1"/>
  <c r="O4" i="2"/>
  <c r="O8" i="2" s="1"/>
  <c r="O20" i="2" s="1"/>
  <c r="N4" i="2"/>
  <c r="N8" i="2" s="1"/>
  <c r="N20" i="2" s="1"/>
  <c r="M4" i="2"/>
  <c r="M8" i="2" s="1"/>
  <c r="M20" i="2" s="1"/>
  <c r="L4" i="2"/>
  <c r="L8" i="2" s="1"/>
  <c r="L20" i="2" s="1"/>
  <c r="K4" i="2"/>
  <c r="K8" i="2" s="1"/>
  <c r="K20" i="2" s="1"/>
  <c r="J4" i="2"/>
  <c r="J8" i="2" s="1"/>
  <c r="J20" i="2" s="1"/>
  <c r="I4" i="2"/>
  <c r="I8" i="2" s="1"/>
  <c r="I20" i="2" s="1"/>
  <c r="H4" i="2"/>
  <c r="H8" i="2" s="1"/>
  <c r="H20" i="2" s="1"/>
  <c r="G4" i="2"/>
  <c r="G8" i="2" s="1"/>
  <c r="G20" i="2" s="1"/>
  <c r="O24" i="2" l="1"/>
  <c r="G24" i="2"/>
  <c r="M24" i="2"/>
  <c r="L24" i="2"/>
  <c r="R20" i="2"/>
  <c r="N24" i="2"/>
  <c r="H24" i="2"/>
  <c r="P24" i="2"/>
  <c r="I24" i="2"/>
  <c r="Q24" i="2"/>
  <c r="J24" i="2"/>
  <c r="R24" i="2"/>
  <c r="K24" i="2"/>
  <c r="G25" i="2" l="1"/>
  <c r="G26" i="2"/>
  <c r="H25" i="2" s="1"/>
  <c r="H26" i="2" l="1"/>
  <c r="I25" i="2" s="1"/>
  <c r="I26" i="2" l="1"/>
  <c r="J25" i="2" s="1"/>
  <c r="J26" i="2" l="1"/>
  <c r="K25" i="2" s="1"/>
  <c r="K26" i="2"/>
  <c r="L25" i="2" s="1"/>
  <c r="L26" i="2" s="1"/>
  <c r="M25" i="2" s="1"/>
  <c r="M26" i="2" s="1"/>
  <c r="N25" i="2" s="1"/>
  <c r="N26" i="2" s="1"/>
  <c r="O25" i="2" s="1"/>
  <c r="O26" i="2" s="1"/>
  <c r="P25" i="2" s="1"/>
  <c r="P26" i="2" s="1"/>
  <c r="Q25" i="2" s="1"/>
  <c r="Q26" i="2" s="1"/>
  <c r="R25" i="2" s="1"/>
  <c r="S25" i="2" l="1"/>
  <c r="R26" i="2"/>
  <c r="E47" i="3" l="1"/>
  <c r="E28" i="3"/>
  <c r="F49" i="2"/>
  <c r="F30" i="2"/>
</calcChain>
</file>

<file path=xl/sharedStrings.xml><?xml version="1.0" encoding="utf-8"?>
<sst xmlns="http://schemas.openxmlformats.org/spreadsheetml/2006/main" count="157" uniqueCount="93">
  <si>
    <t>A</t>
  </si>
  <si>
    <t>Without extra financing, the company has a negative balance for 6 months. The liquidity has to be financed 3 in row with twice 1000 dollars and once 2000 dollars.</t>
  </si>
  <si>
    <t>B</t>
  </si>
  <si>
    <t xml:space="preserve">It gives too gih value when it is set to 0%, but when it is set for 150% it gives only an additional 22% change. Without the 1000 euro rounding it gives much better results. </t>
  </si>
  <si>
    <t>C</t>
  </si>
  <si>
    <t>From May it wouldn't make a difference</t>
  </si>
  <si>
    <t>D</t>
  </si>
  <si>
    <t>No</t>
  </si>
  <si>
    <t>E</t>
  </si>
  <si>
    <t>If the renovation is done in 2 months, only 3000 dollars will be needed, if it's done in 3 months the additional money is the same as the original, but payed twice, 1000 dollars and 3000 dollars instead of three payments.</t>
  </si>
  <si>
    <t>F</t>
  </si>
  <si>
    <t>The sum of extra money will be always 4000 dollars no matter how long is the renovation.</t>
  </si>
  <si>
    <t>G</t>
  </si>
  <si>
    <t>I would do it in two months, as then the extra money is smaller, altough it has to be payed together. And I would have 0 delay to maximise the income.</t>
  </si>
  <si>
    <t>Apartment 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</si>
  <si>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</si>
  <si>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</si>
  <si>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</si>
  <si>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</si>
  <si>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</si>
  <si>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</si>
  <si>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</si>
  <si>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</si>
  <si>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</si>
  <si>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</si>
  <si>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</si>
  <si>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</si>
  <si>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Tenant</t>
  </si>
  <si>
    <t>Income</t>
  </si>
  <si>
    <t>Rent/month</t>
  </si>
  <si>
    <t>Water/month/person</t>
  </si>
  <si>
    <t>Apartment 2</t>
  </si>
  <si>
    <t>Condominimum</t>
  </si>
  <si>
    <t>Apartment 3</t>
  </si>
  <si>
    <t>Loan repayment</t>
  </si>
  <si>
    <t>Late payment</t>
  </si>
  <si>
    <t>Refrigerator</t>
  </si>
  <si>
    <t>Total income</t>
  </si>
  <si>
    <t>Expenses</t>
  </si>
  <si>
    <t>Fixed costs (condominimum, loan repayment, banking, office misc)</t>
  </si>
  <si>
    <t>Renovation</t>
  </si>
  <si>
    <t>Quarterly misc</t>
  </si>
  <si>
    <t>Expected move in</t>
  </si>
  <si>
    <t>Taxes</t>
  </si>
  <si>
    <t>Insurance</t>
  </si>
  <si>
    <t>Book-keeping</t>
  </si>
  <si>
    <t>Total expenses</t>
  </si>
  <si>
    <t>Total renovation cost</t>
  </si>
  <si>
    <t>Renovation duration</t>
  </si>
  <si>
    <t>Cash flow</t>
  </si>
  <si>
    <t>Delay of rent after reno</t>
  </si>
  <si>
    <t>Budget</t>
  </si>
  <si>
    <t>Initial account</t>
  </si>
  <si>
    <t>Liquidity before</t>
  </si>
  <si>
    <t>Money inserted</t>
  </si>
  <si>
    <t>Resulting liquidity</t>
  </si>
  <si>
    <t>Company costs</t>
  </si>
  <si>
    <t>Banking costs/month</t>
  </si>
  <si>
    <t>Office misc/month</t>
  </si>
  <si>
    <t>Sensitivity Analsysis (Rent increase %/Refrigerator)</t>
  </si>
  <si>
    <t>Tax payable</t>
  </si>
  <si>
    <t>Misc/3 month</t>
  </si>
  <si>
    <t>Insurence</t>
  </si>
  <si>
    <t>Late payback</t>
  </si>
  <si>
    <t>Starting balance</t>
  </si>
  <si>
    <t>% of rent increase</t>
  </si>
  <si>
    <t>Breakeven Anlysis</t>
  </si>
  <si>
    <t>Scenarios</t>
  </si>
  <si>
    <t>Renovation length</t>
  </si>
  <si>
    <t>Scenario analysis (Reno length/Delay)</t>
  </si>
  <si>
    <t>Delay of renting</t>
  </si>
  <si>
    <t xml:space="preserve"> </t>
  </si>
  <si>
    <t/>
  </si>
  <si>
    <t>Current Values:</t>
  </si>
  <si>
    <t>Positive</t>
  </si>
  <si>
    <t>Realistic</t>
  </si>
  <si>
    <t>Pessimistic</t>
  </si>
  <si>
    <t>Created by Ivett Ezer on 2026.02.06
Modified by Ivett Ezer on 2026.02.06</t>
  </si>
  <si>
    <t>Created by Ivett Ezer on 2026.02.06</t>
  </si>
  <si>
    <t>Changing Cells:</t>
  </si>
  <si>
    <t>Apt1_Rent</t>
  </si>
  <si>
    <t>Apt2_Rent</t>
  </si>
  <si>
    <t>Renovation_cost</t>
  </si>
  <si>
    <t>Renovation_lenght</t>
  </si>
  <si>
    <t>Apt3_Rent</t>
  </si>
  <si>
    <t>Starting_balance</t>
  </si>
  <si>
    <t>Result Cells:</t>
  </si>
  <si>
    <t>$S$25</t>
  </si>
  <si>
    <t>Notes:  Current Values column represents values of changing cells at</t>
  </si>
  <si>
    <t>time Scenario Summary Report was created.  Changing cells for each</t>
  </si>
  <si>
    <t>scenario are highlighted in gray.</t>
  </si>
  <si>
    <t xml:space="preserve">In the positive scenario, only 2000 dollars need to be added, meaniwhile in the pessimistic one 6000 dollars. 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</si>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</sst>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\$#,##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FFFFFF"/>
      <name val="Aptos Narrow"/>
      <family val="2"/>
    </font>
    <font>
      <sz val="10"/>
      <color rgb="FFFFFFFF"/>
      <name val="Aptos Narrow"/>
      <family val="2"/>
    </font>
    <font>
      <b/>
      <sz val="11"/>
      <color rgb="FF000000"/>
      <name val="Aptos Narrow"/>
      <family val="2"/>
    </font>
    <font>
      <sz val="8"/>
      <color theme="1"/>
      <name val="Aptos Narrow"/>
      <family val="2"/>
    </font>
    <font>
      <b/>
      <sz val="11"/>
      <color rgb="FF000080"/>
      <name val="Aptos Narrow"/>
      <family val="2"/>
    </font>
    <font>
      <sz val="10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83CAEB"/>
        <bgColor rgb="FF83CAEB"/>
      </patternFill>
    </fill>
    <fill>
      <patternFill patternType="solid">
        <fgColor rgb="FF800080"/>
        <bgColor rgb="FF800080"/>
      </patternFill>
    </fill>
    <fill>
      <patternFill patternType="solid">
        <fgColor rgb="FFC0C0C0"/>
        <bgColor rgb="FFC0C0C0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1" fontId="1" fillId="2" borderId="8" xfId="0" applyNumberFormat="1" applyFont="1" applyFill="1" applyBorder="1"/>
    <xf numFmtId="0" fontId="1" fillId="0" borderId="9" xfId="0" applyFont="1" applyBorder="1"/>
    <xf numFmtId="0" fontId="3" fillId="0" borderId="7" xfId="0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2" borderId="8" xfId="0" applyNumberFormat="1" applyFont="1" applyFill="1" applyBorder="1"/>
    <xf numFmtId="0" fontId="1" fillId="0" borderId="10" xfId="0" applyFont="1" applyBorder="1"/>
    <xf numFmtId="164" fontId="1" fillId="2" borderId="11" xfId="0" applyNumberFormat="1" applyFont="1" applyFill="1" applyBorder="1"/>
    <xf numFmtId="0" fontId="1" fillId="2" borderId="12" xfId="0" applyFont="1" applyFill="1" applyBorder="1"/>
    <xf numFmtId="164" fontId="4" fillId="0" borderId="0" xfId="0" applyNumberFormat="1" applyFont="1"/>
    <xf numFmtId="164" fontId="1" fillId="2" borderId="9" xfId="0" applyNumberFormat="1" applyFont="1" applyFill="1" applyBorder="1"/>
    <xf numFmtId="164" fontId="1" fillId="2" borderId="12" xfId="0" applyNumberFormat="1" applyFont="1" applyFill="1" applyBorder="1"/>
    <xf numFmtId="0" fontId="1" fillId="0" borderId="13" xfId="0" applyFont="1" applyBorder="1"/>
    <xf numFmtId="1" fontId="1" fillId="2" borderId="9" xfId="0" applyNumberFormat="1" applyFont="1" applyFill="1" applyBorder="1"/>
    <xf numFmtId="0" fontId="3" fillId="0" borderId="10" xfId="0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" fontId="1" fillId="2" borderId="14" xfId="0" applyNumberFormat="1" applyFont="1" applyFill="1" applyBorder="1"/>
    <xf numFmtId="1" fontId="1" fillId="2" borderId="12" xfId="0" applyNumberFormat="1" applyFont="1" applyFill="1" applyBorder="1"/>
    <xf numFmtId="0" fontId="1" fillId="0" borderId="12" xfId="0" applyFont="1" applyBorder="1"/>
    <xf numFmtId="0" fontId="1" fillId="2" borderId="9" xfId="0" applyFont="1" applyFill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166" fontId="3" fillId="0" borderId="7" xfId="0" applyNumberFormat="1" applyFont="1" applyBorder="1"/>
    <xf numFmtId="9" fontId="3" fillId="0" borderId="7" xfId="0" applyNumberFormat="1" applyFont="1" applyBorder="1"/>
    <xf numFmtId="164" fontId="3" fillId="0" borderId="7" xfId="0" applyNumberFormat="1" applyFont="1" applyBorder="1"/>
    <xf numFmtId="0" fontId="1" fillId="0" borderId="15" xfId="0" applyFont="1" applyBorder="1"/>
    <xf numFmtId="164" fontId="1" fillId="2" borderId="16" xfId="0" applyNumberFormat="1" applyFont="1" applyFill="1" applyBorder="1"/>
    <xf numFmtId="0" fontId="1" fillId="2" borderId="17" xfId="0" applyFont="1" applyFill="1" applyBorder="1"/>
    <xf numFmtId="164" fontId="1" fillId="2" borderId="17" xfId="0" applyNumberFormat="1" applyFont="1" applyFill="1" applyBorder="1"/>
    <xf numFmtId="9" fontId="1" fillId="2" borderId="17" xfId="0" applyNumberFormat="1" applyFont="1" applyFill="1" applyBorder="1"/>
    <xf numFmtId="9" fontId="3" fillId="0" borderId="10" xfId="0" applyNumberFormat="1" applyFont="1" applyBorder="1"/>
    <xf numFmtId="1" fontId="4" fillId="0" borderId="0" xfId="0" applyNumberFormat="1" applyFont="1"/>
    <xf numFmtId="1" fontId="1" fillId="3" borderId="9" xfId="0" applyNumberFormat="1" applyFont="1" applyFill="1" applyBorder="1"/>
    <xf numFmtId="1" fontId="1" fillId="3" borderId="12" xfId="0" applyNumberFormat="1" applyFont="1" applyFill="1" applyBorder="1"/>
    <xf numFmtId="1" fontId="3" fillId="0" borderId="8" xfId="0" applyNumberFormat="1" applyFont="1" applyBorder="1"/>
    <xf numFmtId="1" fontId="3" fillId="0" borderId="9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0" xfId="0" applyFont="1"/>
    <xf numFmtId="0" fontId="4" fillId="0" borderId="0" xfId="0" applyFont="1"/>
    <xf numFmtId="0" fontId="6" fillId="4" borderId="18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right"/>
    </xf>
    <xf numFmtId="0" fontId="6" fillId="4" borderId="19" xfId="0" applyFont="1" applyFill="1" applyBorder="1" applyAlignment="1">
      <alignment horizontal="left"/>
    </xf>
    <xf numFmtId="0" fontId="7" fillId="4" borderId="19" xfId="0" applyFont="1" applyFill="1" applyBorder="1" applyAlignment="1">
      <alignment horizontal="right"/>
    </xf>
    <xf numFmtId="0" fontId="8" fillId="5" borderId="20" xfId="0" applyFont="1" applyFill="1" applyBorder="1" applyAlignment="1">
      <alignment horizontal="left"/>
    </xf>
    <xf numFmtId="0" fontId="9" fillId="0" borderId="0" xfId="0" applyFont="1" applyAlignment="1">
      <alignment vertical="top" wrapText="1"/>
    </xf>
    <xf numFmtId="0" fontId="10" fillId="5" borderId="21" xfId="0" applyFont="1" applyFill="1" applyBorder="1" applyAlignment="1">
      <alignment horizontal="left"/>
    </xf>
    <xf numFmtId="0" fontId="1" fillId="0" borderId="22" xfId="0" applyFont="1" applyBorder="1"/>
    <xf numFmtId="164" fontId="1" fillId="0" borderId="0" xfId="0" applyNumberFormat="1" applyFont="1"/>
    <xf numFmtId="164" fontId="1" fillId="5" borderId="20" xfId="0" applyNumberFormat="1" applyFont="1" applyFill="1" applyBorder="1"/>
    <xf numFmtId="0" fontId="1" fillId="5" borderId="20" xfId="0" applyFont="1" applyFill="1" applyBorder="1"/>
    <xf numFmtId="0" fontId="8" fillId="5" borderId="23" xfId="0" applyFont="1" applyFill="1" applyBorder="1" applyAlignment="1">
      <alignment horizontal="left"/>
    </xf>
    <xf numFmtId="164" fontId="1" fillId="0" borderId="24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11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CA" sz="1400" b="0" i="0">
                <a:solidFill>
                  <a:srgbClr val="757575"/>
                </a:solidFill>
                <a:latin typeface="+mn-lt"/>
              </a:rPr>
              <a:t>Liquidity budget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Money inserted</c:v>
          </c:tx>
          <c:spPr>
            <a:solidFill>
              <a:srgbClr val="0F9ED5"/>
            </a:solidFill>
            <a:ln cmpd="sng">
              <a:noFill/>
            </a:ln>
          </c:spPr>
          <c:invertIfNegative val="1"/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Model!$G$25:$R$25</c:f>
              <c:numCache>
                <c:formatCode>"$"#,##0</c:formatCode>
                <c:ptCount val="12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72-44E3-80E5-311FE2F2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1304584"/>
        <c:axId val="1963421450"/>
      </c:barChart>
      <c:lineChart>
        <c:grouping val="standard"/>
        <c:varyColors val="1"/>
        <c:ser>
          <c:idx val="1"/>
          <c:order val="1"/>
          <c:tx>
            <c:v>Liquidity before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Model!$G$24:$R$24</c:f>
              <c:numCache>
                <c:formatCode>"$"#,##0</c:formatCode>
                <c:ptCount val="12"/>
                <c:pt idx="0">
                  <c:v>1048</c:v>
                </c:pt>
                <c:pt idx="1">
                  <c:v>-204</c:v>
                </c:pt>
                <c:pt idx="2">
                  <c:v>-2156</c:v>
                </c:pt>
                <c:pt idx="3">
                  <c:v>-3008</c:v>
                </c:pt>
                <c:pt idx="4">
                  <c:v>-2260</c:v>
                </c:pt>
                <c:pt idx="5">
                  <c:v>-1342</c:v>
                </c:pt>
                <c:pt idx="6">
                  <c:v>-594</c:v>
                </c:pt>
                <c:pt idx="7">
                  <c:v>154</c:v>
                </c:pt>
                <c:pt idx="8">
                  <c:v>802</c:v>
                </c:pt>
                <c:pt idx="9">
                  <c:v>910</c:v>
                </c:pt>
                <c:pt idx="10">
                  <c:v>1658</c:v>
                </c:pt>
                <c:pt idx="11">
                  <c:v>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72-44E3-80E5-311FE2F2A4AB}"/>
            </c:ext>
          </c:extLst>
        </c:ser>
        <c:ser>
          <c:idx val="2"/>
          <c:order val="2"/>
          <c:tx>
            <c:v>Resulting liquidity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Model!$G$26:$R$26</c:f>
              <c:numCache>
                <c:formatCode>"$"#,##0</c:formatCode>
                <c:ptCount val="12"/>
                <c:pt idx="0">
                  <c:v>1048</c:v>
                </c:pt>
                <c:pt idx="1">
                  <c:v>796</c:v>
                </c:pt>
                <c:pt idx="2">
                  <c:v>844</c:v>
                </c:pt>
                <c:pt idx="3">
                  <c:v>992</c:v>
                </c:pt>
                <c:pt idx="4">
                  <c:v>1740</c:v>
                </c:pt>
                <c:pt idx="5">
                  <c:v>2658</c:v>
                </c:pt>
                <c:pt idx="6">
                  <c:v>3406</c:v>
                </c:pt>
                <c:pt idx="7">
                  <c:v>4154</c:v>
                </c:pt>
                <c:pt idx="8">
                  <c:v>4802</c:v>
                </c:pt>
                <c:pt idx="9">
                  <c:v>4910</c:v>
                </c:pt>
                <c:pt idx="10">
                  <c:v>5658</c:v>
                </c:pt>
                <c:pt idx="11">
                  <c:v>6306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2-44E3-80E5-311FE2F2A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304584"/>
        <c:axId val="1963421450"/>
      </c:lineChart>
      <c:catAx>
        <c:axId val="1171304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3421450"/>
        <c:crosses val="autoZero"/>
        <c:auto val="1"/>
        <c:lblAlgn val="ctr"/>
        <c:lblOffset val="100"/>
        <c:noMultiLvlLbl val="1"/>
      </c:catAx>
      <c:valAx>
        <c:axId val="1963421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130458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CA" sz="1400" b="0" i="0">
                <a:solidFill>
                  <a:srgbClr val="757575"/>
                </a:solidFill>
                <a:latin typeface="+mn-lt"/>
              </a:rPr>
              <a:t>Liquidity budget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Money inserted</c:v>
          </c:tx>
          <c:spPr>
            <a:solidFill>
              <a:srgbClr val="0F9ED5"/>
            </a:solidFill>
            <a:ln cmpd="sng">
              <a:noFill/>
            </a:ln>
          </c:spPr>
          <c:invertIfNegative val="1"/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Model!$G$25:$R$25</c:f>
              <c:numCache>
                <c:formatCode>"$"#,##0</c:formatCode>
                <c:ptCount val="12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23-4746-BD30-7EA547541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6312904"/>
        <c:axId val="1464592143"/>
      </c:barChart>
      <c:lineChart>
        <c:grouping val="standard"/>
        <c:varyColors val="1"/>
        <c:ser>
          <c:idx val="1"/>
          <c:order val="1"/>
          <c:tx>
            <c:v>Liquidity before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Model!$G$24:$R$24</c:f>
              <c:numCache>
                <c:formatCode>"$"#,##0</c:formatCode>
                <c:ptCount val="12"/>
                <c:pt idx="0">
                  <c:v>1048</c:v>
                </c:pt>
                <c:pt idx="1">
                  <c:v>-204</c:v>
                </c:pt>
                <c:pt idx="2">
                  <c:v>-2156</c:v>
                </c:pt>
                <c:pt idx="3">
                  <c:v>-3008</c:v>
                </c:pt>
                <c:pt idx="4">
                  <c:v>-2260</c:v>
                </c:pt>
                <c:pt idx="5">
                  <c:v>-1342</c:v>
                </c:pt>
                <c:pt idx="6">
                  <c:v>-594</c:v>
                </c:pt>
                <c:pt idx="7">
                  <c:v>154</c:v>
                </c:pt>
                <c:pt idx="8">
                  <c:v>802</c:v>
                </c:pt>
                <c:pt idx="9">
                  <c:v>910</c:v>
                </c:pt>
                <c:pt idx="10">
                  <c:v>1658</c:v>
                </c:pt>
                <c:pt idx="11">
                  <c:v>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3-4746-BD30-7EA547541F34}"/>
            </c:ext>
          </c:extLst>
        </c:ser>
        <c:ser>
          <c:idx val="2"/>
          <c:order val="2"/>
          <c:tx>
            <c:v>Resulting liquidity</c:v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Model!$G$2:$R$2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Model!$G$26:$R$26</c:f>
              <c:numCache>
                <c:formatCode>"$"#,##0</c:formatCode>
                <c:ptCount val="12"/>
                <c:pt idx="0">
                  <c:v>1048</c:v>
                </c:pt>
                <c:pt idx="1">
                  <c:v>796</c:v>
                </c:pt>
                <c:pt idx="2">
                  <c:v>844</c:v>
                </c:pt>
                <c:pt idx="3">
                  <c:v>992</c:v>
                </c:pt>
                <c:pt idx="4">
                  <c:v>1740</c:v>
                </c:pt>
                <c:pt idx="5">
                  <c:v>2658</c:v>
                </c:pt>
                <c:pt idx="6">
                  <c:v>3406</c:v>
                </c:pt>
                <c:pt idx="7">
                  <c:v>4154</c:v>
                </c:pt>
                <c:pt idx="8">
                  <c:v>4802</c:v>
                </c:pt>
                <c:pt idx="9">
                  <c:v>4910</c:v>
                </c:pt>
                <c:pt idx="10">
                  <c:v>5658</c:v>
                </c:pt>
                <c:pt idx="11">
                  <c:v>6306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3-4746-BD30-7EA547541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12904"/>
        <c:axId val="1464592143"/>
      </c:lineChart>
      <c:catAx>
        <c:axId val="556312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4592143"/>
        <c:crosses val="autoZero"/>
        <c:auto val="1"/>
        <c:lblAlgn val="ctr"/>
        <c:lblOffset val="100"/>
        <c:noMultiLvlLbl val="1"/>
      </c:catAx>
      <c:valAx>
        <c:axId val="1464592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3129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438150</xdr:colOff>
      <xdr:row>0</xdr:row>
      <xdr:rowOff>152400</xdr:rowOff>
    </xdr:from>
    <xdr:ext cx="8705850" cy="457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43</xdr:row>
      <xdr:rowOff>161925</xdr:rowOff>
    </xdr:from>
    <xdr:ext cx="2133600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288725" y="3675225"/>
          <a:ext cx="2114550" cy="209550"/>
        </a:xfrm>
        <a:prstGeom prst="rect">
          <a:avLst/>
        </a:prstGeom>
        <a:solidFill>
          <a:schemeClr val="accent1"/>
        </a:solidFill>
        <a:ln w="1905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Breakeven Analysis</a:t>
          </a:r>
          <a:endParaRPr sz="11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4</xdr:row>
      <xdr:rowOff>66675</xdr:rowOff>
    </xdr:from>
    <xdr:ext cx="9439275" cy="368617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12</xdr:row>
      <xdr:rowOff>45720</xdr:rowOff>
    </xdr:from>
    <xdr:to>
      <xdr:col>10</xdr:col>
      <xdr:colOff>487680</xdr:colOff>
      <xdr:row>15</xdr:row>
      <xdr:rowOff>137160</xdr:rowOff>
    </xdr:to>
    <xdr:sp macro="[0]!Scenario_Positive" textlink="">
      <xdr:nvSpPr>
        <xdr:cNvPr id="2" name="Rectangle 1">
          <a:extLst>
            <a:ext uri="{FF2B5EF4-FFF2-40B4-BE49-F238E27FC236}">
              <a16:creationId xmlns:a16="http://schemas.microsoft.com/office/drawing/2014/main" id="{06DC40A7-03B1-C90C-D144-BB9026E55E2E}"/>
            </a:ext>
          </a:extLst>
        </xdr:cNvPr>
        <xdr:cNvSpPr/>
      </xdr:nvSpPr>
      <xdr:spPr>
        <a:xfrm>
          <a:off x="6217920" y="1973580"/>
          <a:ext cx="1409700" cy="4419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Scenario_Pessimitic</a:t>
          </a:r>
        </a:p>
        <a:p>
          <a:pPr algn="l"/>
          <a:endParaRPr lang="en-CA" sz="1100"/>
        </a:p>
      </xdr:txBody>
    </xdr:sp>
    <xdr:clientData/>
  </xdr:twoCellAnchor>
  <xdr:twoCellAnchor>
    <xdr:from>
      <xdr:col>8</xdr:col>
      <xdr:colOff>266700</xdr:colOff>
      <xdr:row>2</xdr:row>
      <xdr:rowOff>167640</xdr:rowOff>
    </xdr:from>
    <xdr:to>
      <xdr:col>10</xdr:col>
      <xdr:colOff>419100</xdr:colOff>
      <xdr:row>6</xdr:row>
      <xdr:rowOff>83820</xdr:rowOff>
    </xdr:to>
    <xdr:sp macro="[0]!RefreshDashboard" textlink="">
      <xdr:nvSpPr>
        <xdr:cNvPr id="3" name="Rectangle 2">
          <a:extLst>
            <a:ext uri="{FF2B5EF4-FFF2-40B4-BE49-F238E27FC236}">
              <a16:creationId xmlns:a16="http://schemas.microsoft.com/office/drawing/2014/main" id="{508D3FDF-4E36-1F15-FD27-0ABA76D00139}"/>
            </a:ext>
          </a:extLst>
        </xdr:cNvPr>
        <xdr:cNvSpPr/>
      </xdr:nvSpPr>
      <xdr:spPr>
        <a:xfrm>
          <a:off x="6217920" y="518160"/>
          <a:ext cx="1341120" cy="4419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Refresh</a:t>
          </a:r>
          <a:r>
            <a:rPr lang="en-CA" sz="1100" baseline="0"/>
            <a:t> button</a:t>
          </a:r>
        </a:p>
        <a:p>
          <a:pPr algn="l"/>
          <a:endParaRPr lang="en-CA" sz="1100"/>
        </a:p>
      </xdr:txBody>
    </xdr:sp>
    <xdr:clientData/>
  </xdr:twoCellAnchor>
  <xdr:twoCellAnchor>
    <xdr:from>
      <xdr:col>8</xdr:col>
      <xdr:colOff>289560</xdr:colOff>
      <xdr:row>7</xdr:row>
      <xdr:rowOff>129540</xdr:rowOff>
    </xdr:from>
    <xdr:to>
      <xdr:col>10</xdr:col>
      <xdr:colOff>449580</xdr:colOff>
      <xdr:row>10</xdr:row>
      <xdr:rowOff>76200</xdr:rowOff>
    </xdr:to>
    <xdr:sp macro="[0]!ExportDashboardToPDF" textlink="">
      <xdr:nvSpPr>
        <xdr:cNvPr id="4" name="Rectangle 3">
          <a:extLst>
            <a:ext uri="{FF2B5EF4-FFF2-40B4-BE49-F238E27FC236}">
              <a16:creationId xmlns:a16="http://schemas.microsoft.com/office/drawing/2014/main" id="{3C2374AA-0AD1-22E5-8DEB-17837D4843A1}"/>
            </a:ext>
          </a:extLst>
        </xdr:cNvPr>
        <xdr:cNvSpPr/>
      </xdr:nvSpPr>
      <xdr:spPr>
        <a:xfrm>
          <a:off x="6240780" y="1181100"/>
          <a:ext cx="1348740" cy="47244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Dashboard to PDF</a:t>
          </a:r>
        </a:p>
        <a:p>
          <a:pPr algn="l"/>
          <a:endParaRPr lang="en-CA" sz="1100"/>
        </a:p>
      </xdr:txBody>
    </xdr:sp>
    <xdr:clientData/>
  </xdr:twoCellAnchor>
  <xdr:twoCellAnchor>
    <xdr:from>
      <xdr:col>8</xdr:col>
      <xdr:colOff>259080</xdr:colOff>
      <xdr:row>17</xdr:row>
      <xdr:rowOff>152400</xdr:rowOff>
    </xdr:from>
    <xdr:to>
      <xdr:col>10</xdr:col>
      <xdr:colOff>563880</xdr:colOff>
      <xdr:row>19</xdr:row>
      <xdr:rowOff>30480</xdr:rowOff>
    </xdr:to>
    <xdr:sp macro="[0]!Scenario_Positive" textlink="">
      <xdr:nvSpPr>
        <xdr:cNvPr id="5" name="Rectangle 4">
          <a:extLst>
            <a:ext uri="{FF2B5EF4-FFF2-40B4-BE49-F238E27FC236}">
              <a16:creationId xmlns:a16="http://schemas.microsoft.com/office/drawing/2014/main" id="{CFF6C46A-8FCA-2CBF-1F35-2643AE5A9FC1}"/>
            </a:ext>
          </a:extLst>
        </xdr:cNvPr>
        <xdr:cNvSpPr/>
      </xdr:nvSpPr>
      <xdr:spPr>
        <a:xfrm>
          <a:off x="6210300" y="2781300"/>
          <a:ext cx="1493520" cy="44958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Scenario_Positive</a:t>
          </a:r>
        </a:p>
        <a:p>
          <a:pPr algn="l"/>
          <a:endParaRPr lang="en-CA" sz="1100"/>
        </a:p>
      </xdr:txBody>
    </xdr:sp>
    <xdr:clientData/>
  </xdr:twoCellAnchor>
  <xdr:twoCellAnchor>
    <xdr:from>
      <xdr:col>8</xdr:col>
      <xdr:colOff>281940</xdr:colOff>
      <xdr:row>20</xdr:row>
      <xdr:rowOff>144780</xdr:rowOff>
    </xdr:from>
    <xdr:to>
      <xdr:col>10</xdr:col>
      <xdr:colOff>563880</xdr:colOff>
      <xdr:row>23</xdr:row>
      <xdr:rowOff>68580</xdr:rowOff>
    </xdr:to>
    <xdr:sp macro="[0]!Scenario_Realistic" textlink="">
      <xdr:nvSpPr>
        <xdr:cNvPr id="6" name="Rectangle 5">
          <a:extLst>
            <a:ext uri="{FF2B5EF4-FFF2-40B4-BE49-F238E27FC236}">
              <a16:creationId xmlns:a16="http://schemas.microsoft.com/office/drawing/2014/main" id="{49A49A34-2EF5-CCE4-96C9-8BDD62D0B1CD}"/>
            </a:ext>
          </a:extLst>
        </xdr:cNvPr>
        <xdr:cNvSpPr/>
      </xdr:nvSpPr>
      <xdr:spPr>
        <a:xfrm>
          <a:off x="6233160" y="3520440"/>
          <a:ext cx="1470660" cy="44958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Scenario_Reaslistic</a:t>
          </a:r>
        </a:p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1000"/>
  <sheetViews>
    <sheetView workbookViewId="0"/>
  </sheetViews>
  <sheetFormatPr defaultColWidth="12.6640625" defaultRowHeight="15" customHeight="1" x14ac:dyDescent="0.3"/>
  <cols>
    <col min="1" max="1" width="3.33203125" customWidth="1"/>
    <col min="2" max="2" width="8.6640625" customWidth="1"/>
    <col min="3" max="3" width="57.7773437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" t="s">
        <v>0</v>
      </c>
      <c r="C2" s="2" t="s">
        <v>1</v>
      </c>
    </row>
    <row r="3" spans="2:3" ht="14.25" customHeight="1" x14ac:dyDescent="0.3">
      <c r="B3" s="1" t="s">
        <v>2</v>
      </c>
      <c r="C3" s="2" t="s">
        <v>3</v>
      </c>
    </row>
    <row r="4" spans="2:3" ht="14.25" customHeight="1" x14ac:dyDescent="0.3">
      <c r="B4" s="1" t="s">
        <v>4</v>
      </c>
      <c r="C4" s="2" t="s">
        <v>5</v>
      </c>
    </row>
    <row r="5" spans="2:3" ht="14.25" customHeight="1" x14ac:dyDescent="0.3">
      <c r="B5" s="1" t="s">
        <v>6</v>
      </c>
      <c r="C5" s="2" t="s">
        <v>7</v>
      </c>
    </row>
    <row r="6" spans="2:3" ht="14.25" customHeight="1" x14ac:dyDescent="0.3">
      <c r="B6" s="1" t="s">
        <v>8</v>
      </c>
      <c r="C6" s="2" t="s">
        <v>9</v>
      </c>
    </row>
    <row r="7" spans="2:3" ht="14.25" customHeight="1" x14ac:dyDescent="0.3">
      <c r="B7" s="1" t="s">
        <v>10</v>
      </c>
      <c r="C7" s="2" t="s">
        <v>11</v>
      </c>
    </row>
    <row r="8" spans="2:3" ht="14.25" customHeight="1" x14ac:dyDescent="0.3">
      <c r="B8" s="1" t="s">
        <v>12</v>
      </c>
      <c r="C8" s="2" t="s">
        <v>13</v>
      </c>
    </row>
    <row r="9" spans="2:3" ht="14.25" customHeight="1" x14ac:dyDescent="0.3"/>
    <row r="10" spans="2:3" ht="14.25" customHeight="1" x14ac:dyDescent="0.3"/>
    <row r="11" spans="2:3" ht="14.25" customHeight="1" x14ac:dyDescent="0.3"/>
    <row r="12" spans="2:3" ht="14.25" customHeight="1" x14ac:dyDescent="0.3"/>
    <row r="13" spans="2:3" ht="14.25" customHeight="1" x14ac:dyDescent="0.3"/>
    <row r="14" spans="2:3" ht="14.25" customHeight="1" x14ac:dyDescent="0.3"/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S1000"/>
  <sheetViews>
    <sheetView topLeftCell="A17" workbookViewId="0"/>
  </sheetViews>
  <sheetFormatPr defaultColWidth="12.6640625" defaultRowHeight="15" customHeight="1" x14ac:dyDescent="0.3"/>
  <cols>
    <col min="1" max="1" width="9.6640625" customWidth="1"/>
    <col min="2" max="2" width="18.44140625" customWidth="1"/>
    <col min="3" max="3" width="10.109375" customWidth="1"/>
    <col min="4" max="5" width="9.6640625" customWidth="1"/>
    <col min="6" max="6" width="15.77734375" customWidth="1"/>
    <col min="7" max="19" width="10.6640625" customWidth="1"/>
    <col min="20" max="32" width="9.6640625" customWidth="1"/>
  </cols>
  <sheetData>
    <row r="1" spans="2:18" ht="14.25" customHeight="1" x14ac:dyDescent="0.3"/>
    <row r="2" spans="2:18" ht="14.25" customHeight="1" x14ac:dyDescent="0.3">
      <c r="B2" s="62" t="s">
        <v>14</v>
      </c>
      <c r="C2" s="65"/>
      <c r="D2" s="63"/>
      <c r="F2" s="3"/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5" t="s">
        <v>26</v>
      </c>
    </row>
    <row r="3" spans="2:18" ht="14.25" customHeight="1" x14ac:dyDescent="0.3">
      <c r="B3" s="6" t="s">
        <v>27</v>
      </c>
      <c r="C3" s="7">
        <v>1</v>
      </c>
      <c r="D3" s="8"/>
      <c r="F3" s="9" t="s">
        <v>28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spans="2:18" ht="14.25" customHeight="1" x14ac:dyDescent="0.3">
      <c r="B4" s="6" t="s">
        <v>29</v>
      </c>
      <c r="C4" s="12">
        <v>345</v>
      </c>
      <c r="D4" s="8"/>
      <c r="F4" s="6" t="s">
        <v>14</v>
      </c>
      <c r="G4" s="10">
        <f t="shared" ref="G4:R4" si="0">$C$4+$C$4*$C$39</f>
        <v>345</v>
      </c>
      <c r="H4" s="10">
        <f t="shared" si="0"/>
        <v>345</v>
      </c>
      <c r="I4" s="10">
        <f t="shared" si="0"/>
        <v>345</v>
      </c>
      <c r="J4" s="10">
        <f t="shared" si="0"/>
        <v>345</v>
      </c>
      <c r="K4" s="10">
        <f t="shared" si="0"/>
        <v>345</v>
      </c>
      <c r="L4" s="10">
        <f t="shared" si="0"/>
        <v>345</v>
      </c>
      <c r="M4" s="10">
        <f t="shared" si="0"/>
        <v>345</v>
      </c>
      <c r="N4" s="10">
        <f t="shared" si="0"/>
        <v>345</v>
      </c>
      <c r="O4" s="10">
        <f t="shared" si="0"/>
        <v>345</v>
      </c>
      <c r="P4" s="10">
        <f t="shared" si="0"/>
        <v>345</v>
      </c>
      <c r="Q4" s="10">
        <f t="shared" si="0"/>
        <v>345</v>
      </c>
      <c r="R4" s="10">
        <f t="shared" si="0"/>
        <v>345</v>
      </c>
    </row>
    <row r="5" spans="2:18" ht="14.25" customHeight="1" x14ac:dyDescent="0.3">
      <c r="B5" s="6" t="s">
        <v>30</v>
      </c>
      <c r="C5" s="12">
        <v>20</v>
      </c>
      <c r="D5" s="8"/>
      <c r="F5" s="6" t="s">
        <v>31</v>
      </c>
      <c r="G5" s="10">
        <f t="shared" ref="G5:R5" si="1">IF(VLOOKUP(G$2,Months,2,FALSE)&gt;=VLOOKUP($C$15,Months,2,FALSE),$C$12+$C$12*$C$39,0)</f>
        <v>0</v>
      </c>
      <c r="H5" s="10">
        <f t="shared" si="1"/>
        <v>0</v>
      </c>
      <c r="I5" s="10">
        <f t="shared" si="1"/>
        <v>400</v>
      </c>
      <c r="J5" s="10">
        <f t="shared" si="1"/>
        <v>400</v>
      </c>
      <c r="K5" s="10">
        <f t="shared" si="1"/>
        <v>400</v>
      </c>
      <c r="L5" s="10">
        <f t="shared" si="1"/>
        <v>400</v>
      </c>
      <c r="M5" s="10">
        <f t="shared" si="1"/>
        <v>400</v>
      </c>
      <c r="N5" s="10">
        <f t="shared" si="1"/>
        <v>400</v>
      </c>
      <c r="O5" s="10">
        <f t="shared" si="1"/>
        <v>400</v>
      </c>
      <c r="P5" s="10">
        <f t="shared" si="1"/>
        <v>400</v>
      </c>
      <c r="Q5" s="10">
        <f t="shared" si="1"/>
        <v>400</v>
      </c>
      <c r="R5" s="10">
        <f t="shared" si="1"/>
        <v>400</v>
      </c>
    </row>
    <row r="6" spans="2:18" ht="14.25" customHeight="1" x14ac:dyDescent="0.3">
      <c r="B6" s="6" t="s">
        <v>32</v>
      </c>
      <c r="C6" s="12">
        <v>122</v>
      </c>
      <c r="D6" s="8"/>
      <c r="F6" s="6" t="s">
        <v>33</v>
      </c>
      <c r="G6" s="10">
        <f t="shared" ref="G6:R6" si="2">IF(VLOOKUP(G$2,Months,2,FALSE)&gt;(Renovation_lenght+$C$21),$C$22+$C$22*$C$39,0)</f>
        <v>0</v>
      </c>
      <c r="H6" s="10">
        <f t="shared" si="2"/>
        <v>0</v>
      </c>
      <c r="I6" s="10">
        <f t="shared" si="2"/>
        <v>0</v>
      </c>
      <c r="J6" s="10">
        <f t="shared" si="2"/>
        <v>0</v>
      </c>
      <c r="K6" s="10">
        <f t="shared" si="2"/>
        <v>600</v>
      </c>
      <c r="L6" s="10">
        <f t="shared" si="2"/>
        <v>600</v>
      </c>
      <c r="M6" s="10">
        <f t="shared" si="2"/>
        <v>600</v>
      </c>
      <c r="N6" s="10">
        <f t="shared" si="2"/>
        <v>600</v>
      </c>
      <c r="O6" s="10">
        <f t="shared" si="2"/>
        <v>600</v>
      </c>
      <c r="P6" s="10">
        <f t="shared" si="2"/>
        <v>600</v>
      </c>
      <c r="Q6" s="10">
        <f t="shared" si="2"/>
        <v>600</v>
      </c>
      <c r="R6" s="10">
        <f t="shared" si="2"/>
        <v>600</v>
      </c>
    </row>
    <row r="7" spans="2:18" ht="14.25" customHeight="1" x14ac:dyDescent="0.3">
      <c r="B7" s="6" t="s">
        <v>34</v>
      </c>
      <c r="C7" s="12">
        <v>43</v>
      </c>
      <c r="D7" s="8"/>
      <c r="F7" s="6" t="s">
        <v>35</v>
      </c>
      <c r="G7" s="10">
        <f t="shared" ref="G7:R7" si="3">IF(VLOOKUP(G$2,Months,2,FALSE)=VLOOKUP($D$35,Months,2,FALSE),$C$35,0)</f>
        <v>0</v>
      </c>
      <c r="H7" s="10">
        <f t="shared" si="3"/>
        <v>0</v>
      </c>
      <c r="I7" s="10">
        <f t="shared" si="3"/>
        <v>0</v>
      </c>
      <c r="J7" s="10">
        <f t="shared" si="3"/>
        <v>0</v>
      </c>
      <c r="K7" s="10">
        <f t="shared" si="3"/>
        <v>0</v>
      </c>
      <c r="L7" s="10">
        <f t="shared" si="3"/>
        <v>270</v>
      </c>
      <c r="M7" s="10">
        <f t="shared" si="3"/>
        <v>0</v>
      </c>
      <c r="N7" s="10">
        <f t="shared" si="3"/>
        <v>0</v>
      </c>
      <c r="O7" s="10">
        <f t="shared" si="3"/>
        <v>0</v>
      </c>
      <c r="P7" s="10">
        <f t="shared" si="3"/>
        <v>0</v>
      </c>
      <c r="Q7" s="10">
        <f t="shared" si="3"/>
        <v>0</v>
      </c>
      <c r="R7" s="11">
        <f t="shared" si="3"/>
        <v>0</v>
      </c>
    </row>
    <row r="8" spans="2:18" ht="14.25" customHeight="1" x14ac:dyDescent="0.3">
      <c r="B8" s="13" t="s">
        <v>36</v>
      </c>
      <c r="C8" s="14">
        <v>700</v>
      </c>
      <c r="D8" s="15" t="s">
        <v>17</v>
      </c>
      <c r="F8" s="9" t="s">
        <v>37</v>
      </c>
      <c r="G8" s="10">
        <f t="shared" ref="G8:R8" si="4">SUM(G4:G7)</f>
        <v>345</v>
      </c>
      <c r="H8" s="10">
        <f t="shared" si="4"/>
        <v>345</v>
      </c>
      <c r="I8" s="10">
        <f t="shared" si="4"/>
        <v>745</v>
      </c>
      <c r="J8" s="10">
        <f t="shared" si="4"/>
        <v>745</v>
      </c>
      <c r="K8" s="10">
        <f t="shared" si="4"/>
        <v>1345</v>
      </c>
      <c r="L8" s="10">
        <f t="shared" si="4"/>
        <v>1615</v>
      </c>
      <c r="M8" s="10">
        <f t="shared" si="4"/>
        <v>1345</v>
      </c>
      <c r="N8" s="10">
        <f t="shared" si="4"/>
        <v>1345</v>
      </c>
      <c r="O8" s="10">
        <f t="shared" si="4"/>
        <v>1345</v>
      </c>
      <c r="P8" s="10">
        <f t="shared" si="4"/>
        <v>1345</v>
      </c>
      <c r="Q8" s="10">
        <f t="shared" si="4"/>
        <v>1345</v>
      </c>
      <c r="R8" s="11">
        <f t="shared" si="4"/>
        <v>1345</v>
      </c>
    </row>
    <row r="9" spans="2:18" ht="14.25" customHeight="1" x14ac:dyDescent="0.3">
      <c r="C9" s="16"/>
      <c r="F9" s="6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1"/>
    </row>
    <row r="10" spans="2:18" ht="14.25" customHeight="1" x14ac:dyDescent="0.3">
      <c r="B10" s="62" t="s">
        <v>31</v>
      </c>
      <c r="C10" s="63"/>
      <c r="F10" s="9" t="s">
        <v>38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1"/>
    </row>
    <row r="11" spans="2:18" ht="14.25" customHeight="1" x14ac:dyDescent="0.3">
      <c r="B11" s="6" t="s">
        <v>27</v>
      </c>
      <c r="C11" s="17">
        <v>2</v>
      </c>
      <c r="F11" s="6" t="s">
        <v>39</v>
      </c>
      <c r="G11" s="10">
        <f t="shared" ref="G11:R11" si="5">$C$6+$C$7+$C$14+$C$24+$C$25+$C$28+$C$29</f>
        <v>597</v>
      </c>
      <c r="H11" s="10">
        <f t="shared" si="5"/>
        <v>597</v>
      </c>
      <c r="I11" s="10">
        <f t="shared" si="5"/>
        <v>597</v>
      </c>
      <c r="J11" s="10">
        <f t="shared" si="5"/>
        <v>597</v>
      </c>
      <c r="K11" s="10">
        <f t="shared" si="5"/>
        <v>597</v>
      </c>
      <c r="L11" s="10">
        <f t="shared" si="5"/>
        <v>597</v>
      </c>
      <c r="M11" s="10">
        <f t="shared" si="5"/>
        <v>597</v>
      </c>
      <c r="N11" s="10">
        <f t="shared" si="5"/>
        <v>597</v>
      </c>
      <c r="O11" s="10">
        <f t="shared" si="5"/>
        <v>597</v>
      </c>
      <c r="P11" s="10">
        <f t="shared" si="5"/>
        <v>597</v>
      </c>
      <c r="Q11" s="10">
        <f t="shared" si="5"/>
        <v>597</v>
      </c>
      <c r="R11" s="10">
        <f t="shared" si="5"/>
        <v>597</v>
      </c>
    </row>
    <row r="12" spans="2:18" ht="14.25" customHeight="1" x14ac:dyDescent="0.3">
      <c r="B12" s="6" t="s">
        <v>29</v>
      </c>
      <c r="C12" s="17">
        <v>400</v>
      </c>
      <c r="F12" s="6" t="s">
        <v>40</v>
      </c>
      <c r="G12" s="10">
        <f t="shared" ref="G12:R12" si="6">IF(VLOOKUP(G$2,Months,2,FALSE)&lt;=$C$20,$C$19/$C$20,0)</f>
        <v>1000</v>
      </c>
      <c r="H12" s="10">
        <f t="shared" si="6"/>
        <v>1000</v>
      </c>
      <c r="I12" s="10">
        <f t="shared" si="6"/>
        <v>1000</v>
      </c>
      <c r="J12" s="10">
        <f t="shared" si="6"/>
        <v>1000</v>
      </c>
      <c r="K12" s="10">
        <f t="shared" si="6"/>
        <v>0</v>
      </c>
      <c r="L12" s="10">
        <f t="shared" si="6"/>
        <v>0</v>
      </c>
      <c r="M12" s="10">
        <f t="shared" si="6"/>
        <v>0</v>
      </c>
      <c r="N12" s="10">
        <f t="shared" si="6"/>
        <v>0</v>
      </c>
      <c r="O12" s="10">
        <f t="shared" si="6"/>
        <v>0</v>
      </c>
      <c r="P12" s="10">
        <f t="shared" si="6"/>
        <v>0</v>
      </c>
      <c r="Q12" s="10">
        <f t="shared" si="6"/>
        <v>0</v>
      </c>
      <c r="R12" s="10">
        <f t="shared" si="6"/>
        <v>0</v>
      </c>
    </row>
    <row r="13" spans="2:18" ht="14.25" customHeight="1" x14ac:dyDescent="0.3">
      <c r="B13" s="6" t="s">
        <v>30</v>
      </c>
      <c r="C13" s="17">
        <v>20</v>
      </c>
      <c r="F13" s="6" t="s">
        <v>41</v>
      </c>
      <c r="G13" s="10">
        <f t="shared" ref="G13:R13" si="7">IF(MOD(VLOOKUP(G$2,Months,2,FALSE),3)=0,$C$32,0)</f>
        <v>0</v>
      </c>
      <c r="H13" s="10">
        <f t="shared" si="7"/>
        <v>0</v>
      </c>
      <c r="I13" s="10">
        <f t="shared" si="7"/>
        <v>100</v>
      </c>
      <c r="J13" s="10">
        <f t="shared" si="7"/>
        <v>0</v>
      </c>
      <c r="K13" s="10">
        <f t="shared" si="7"/>
        <v>0</v>
      </c>
      <c r="L13" s="10">
        <f t="shared" si="7"/>
        <v>100</v>
      </c>
      <c r="M13" s="10">
        <f t="shared" si="7"/>
        <v>0</v>
      </c>
      <c r="N13" s="10">
        <f t="shared" si="7"/>
        <v>0</v>
      </c>
      <c r="O13" s="10">
        <f t="shared" si="7"/>
        <v>100</v>
      </c>
      <c r="P13" s="10">
        <f t="shared" si="7"/>
        <v>0</v>
      </c>
      <c r="Q13" s="10">
        <f t="shared" si="7"/>
        <v>0</v>
      </c>
      <c r="R13" s="10">
        <f t="shared" si="7"/>
        <v>100</v>
      </c>
    </row>
    <row r="14" spans="2:18" ht="14.25" customHeight="1" x14ac:dyDescent="0.3">
      <c r="B14" s="6" t="s">
        <v>32</v>
      </c>
      <c r="C14" s="17">
        <v>202</v>
      </c>
      <c r="F14" s="6" t="s">
        <v>36</v>
      </c>
      <c r="G14" s="10">
        <f t="shared" ref="G14:R14" si="8">IF(VLOOKUP(G$2,Months,2,FALSE)=VLOOKUP($D$8,Months,2,FALSE),$C$8,0)</f>
        <v>0</v>
      </c>
      <c r="H14" s="10">
        <f t="shared" si="8"/>
        <v>0</v>
      </c>
      <c r="I14" s="10">
        <f t="shared" si="8"/>
        <v>700</v>
      </c>
      <c r="J14" s="10">
        <f t="shared" si="8"/>
        <v>0</v>
      </c>
      <c r="K14" s="10">
        <f t="shared" si="8"/>
        <v>0</v>
      </c>
      <c r="L14" s="10">
        <f t="shared" si="8"/>
        <v>0</v>
      </c>
      <c r="M14" s="10">
        <f t="shared" si="8"/>
        <v>0</v>
      </c>
      <c r="N14" s="10">
        <f t="shared" si="8"/>
        <v>0</v>
      </c>
      <c r="O14" s="10">
        <f t="shared" si="8"/>
        <v>0</v>
      </c>
      <c r="P14" s="10">
        <f t="shared" si="8"/>
        <v>0</v>
      </c>
      <c r="Q14" s="10">
        <f t="shared" si="8"/>
        <v>0</v>
      </c>
      <c r="R14" s="10">
        <f t="shared" si="8"/>
        <v>0</v>
      </c>
    </row>
    <row r="15" spans="2:18" ht="14.25" customHeight="1" x14ac:dyDescent="0.3">
      <c r="B15" s="13" t="s">
        <v>42</v>
      </c>
      <c r="C15" s="18" t="s">
        <v>17</v>
      </c>
      <c r="F15" s="6" t="s">
        <v>43</v>
      </c>
      <c r="G15" s="10">
        <f t="shared" ref="G15:R15" si="9">IF(VLOOKUP(G$2,Months,2,FALSE)=VLOOKUP($D$31,Months,2,FALSE),$C$31,0)</f>
        <v>0</v>
      </c>
      <c r="H15" s="10">
        <f t="shared" si="9"/>
        <v>0</v>
      </c>
      <c r="I15" s="10">
        <f t="shared" si="9"/>
        <v>0</v>
      </c>
      <c r="J15" s="10">
        <f t="shared" si="9"/>
        <v>0</v>
      </c>
      <c r="K15" s="10">
        <f t="shared" si="9"/>
        <v>0</v>
      </c>
      <c r="L15" s="10">
        <f t="shared" si="9"/>
        <v>0</v>
      </c>
      <c r="M15" s="10">
        <f t="shared" si="9"/>
        <v>0</v>
      </c>
      <c r="N15" s="10">
        <f t="shared" si="9"/>
        <v>0</v>
      </c>
      <c r="O15" s="10">
        <f t="shared" si="9"/>
        <v>0</v>
      </c>
      <c r="P15" s="10">
        <f t="shared" si="9"/>
        <v>440</v>
      </c>
      <c r="Q15" s="10">
        <f t="shared" si="9"/>
        <v>0</v>
      </c>
      <c r="R15" s="10">
        <f t="shared" si="9"/>
        <v>0</v>
      </c>
    </row>
    <row r="16" spans="2:18" ht="14.25" customHeight="1" x14ac:dyDescent="0.3">
      <c r="C16" s="16"/>
      <c r="F16" s="6" t="s">
        <v>44</v>
      </c>
      <c r="G16" s="10">
        <f t="shared" ref="G16:R16" si="10">IF(VLOOKUP(G$2,Months,2,FALSE)=VLOOKUP($D$33,Months,2,FALSE),$C$33,0)</f>
        <v>0</v>
      </c>
      <c r="H16" s="10">
        <f t="shared" si="10"/>
        <v>0</v>
      </c>
      <c r="I16" s="10">
        <f t="shared" si="10"/>
        <v>0</v>
      </c>
      <c r="J16" s="10">
        <f t="shared" si="10"/>
        <v>0</v>
      </c>
      <c r="K16" s="10">
        <f t="shared" si="10"/>
        <v>0</v>
      </c>
      <c r="L16" s="10">
        <f t="shared" si="10"/>
        <v>0</v>
      </c>
      <c r="M16" s="10">
        <f t="shared" si="10"/>
        <v>0</v>
      </c>
      <c r="N16" s="10">
        <f t="shared" si="10"/>
        <v>0</v>
      </c>
      <c r="O16" s="10">
        <f t="shared" si="10"/>
        <v>0</v>
      </c>
      <c r="P16" s="10">
        <f t="shared" si="10"/>
        <v>200</v>
      </c>
      <c r="Q16" s="10">
        <f t="shared" si="10"/>
        <v>0</v>
      </c>
      <c r="R16" s="10">
        <f t="shared" si="10"/>
        <v>0</v>
      </c>
    </row>
    <row r="17" spans="2:19" ht="14.25" customHeight="1" x14ac:dyDescent="0.3">
      <c r="B17" s="62" t="s">
        <v>33</v>
      </c>
      <c r="C17" s="63"/>
      <c r="F17" s="19" t="s">
        <v>45</v>
      </c>
      <c r="G17" s="10">
        <f t="shared" ref="G17:R17" si="11">IF(VLOOKUP(G$2,Months,2,FALSE)=VLOOKUP($D$30,Months,2,FALSE),$C$30,0)</f>
        <v>0</v>
      </c>
      <c r="H17" s="10">
        <f t="shared" si="11"/>
        <v>0</v>
      </c>
      <c r="I17" s="10">
        <f t="shared" si="11"/>
        <v>300</v>
      </c>
      <c r="J17" s="10">
        <f t="shared" si="11"/>
        <v>0</v>
      </c>
      <c r="K17" s="10">
        <f t="shared" si="11"/>
        <v>0</v>
      </c>
      <c r="L17" s="10">
        <f t="shared" si="11"/>
        <v>0</v>
      </c>
      <c r="M17" s="10">
        <f t="shared" si="11"/>
        <v>0</v>
      </c>
      <c r="N17" s="10">
        <f t="shared" si="11"/>
        <v>0</v>
      </c>
      <c r="O17" s="10">
        <f t="shared" si="11"/>
        <v>0</v>
      </c>
      <c r="P17" s="10">
        <f t="shared" si="11"/>
        <v>0</v>
      </c>
      <c r="Q17" s="10">
        <f t="shared" si="11"/>
        <v>0</v>
      </c>
      <c r="R17" s="10">
        <f t="shared" si="11"/>
        <v>0</v>
      </c>
    </row>
    <row r="18" spans="2:19" ht="14.25" customHeight="1" x14ac:dyDescent="0.3">
      <c r="B18" s="6" t="s">
        <v>27</v>
      </c>
      <c r="C18" s="20">
        <v>3</v>
      </c>
      <c r="F18" s="9" t="s">
        <v>46</v>
      </c>
      <c r="G18" s="10">
        <f t="shared" ref="G18:R18" si="12">SUM(G11:G17)</f>
        <v>1597</v>
      </c>
      <c r="H18" s="10">
        <f t="shared" si="12"/>
        <v>1597</v>
      </c>
      <c r="I18" s="10">
        <f t="shared" si="12"/>
        <v>2697</v>
      </c>
      <c r="J18" s="10">
        <f t="shared" si="12"/>
        <v>1597</v>
      </c>
      <c r="K18" s="10">
        <f t="shared" si="12"/>
        <v>597</v>
      </c>
      <c r="L18" s="10">
        <f t="shared" si="12"/>
        <v>697</v>
      </c>
      <c r="M18" s="10">
        <f t="shared" si="12"/>
        <v>597</v>
      </c>
      <c r="N18" s="10">
        <f t="shared" si="12"/>
        <v>597</v>
      </c>
      <c r="O18" s="10">
        <f t="shared" si="12"/>
        <v>697</v>
      </c>
      <c r="P18" s="10">
        <f t="shared" si="12"/>
        <v>1237</v>
      </c>
      <c r="Q18" s="10">
        <f t="shared" si="12"/>
        <v>597</v>
      </c>
      <c r="R18" s="10">
        <f t="shared" si="12"/>
        <v>697</v>
      </c>
    </row>
    <row r="19" spans="2:19" ht="14.25" customHeight="1" x14ac:dyDescent="0.3">
      <c r="B19" s="6" t="s">
        <v>47</v>
      </c>
      <c r="C19" s="17">
        <v>4000</v>
      </c>
      <c r="F19" s="6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1"/>
    </row>
    <row r="20" spans="2:19" ht="14.25" customHeight="1" x14ac:dyDescent="0.3">
      <c r="B20" s="6" t="s">
        <v>48</v>
      </c>
      <c r="C20" s="11">
        <f t="shared" ref="C20:C21" si="13">C48</f>
        <v>4</v>
      </c>
      <c r="F20" s="21" t="s">
        <v>49</v>
      </c>
      <c r="G20" s="22">
        <f t="shared" ref="G20:R20" si="14">G8-G18</f>
        <v>-1252</v>
      </c>
      <c r="H20" s="22">
        <f t="shared" si="14"/>
        <v>-1252</v>
      </c>
      <c r="I20" s="22">
        <f t="shared" si="14"/>
        <v>-1952</v>
      </c>
      <c r="J20" s="22">
        <f t="shared" si="14"/>
        <v>-852</v>
      </c>
      <c r="K20" s="22">
        <f t="shared" si="14"/>
        <v>748</v>
      </c>
      <c r="L20" s="22">
        <f t="shared" si="14"/>
        <v>918</v>
      </c>
      <c r="M20" s="22">
        <f t="shared" si="14"/>
        <v>748</v>
      </c>
      <c r="N20" s="22">
        <f t="shared" si="14"/>
        <v>748</v>
      </c>
      <c r="O20" s="22">
        <f t="shared" si="14"/>
        <v>648</v>
      </c>
      <c r="P20" s="22">
        <f t="shared" si="14"/>
        <v>108</v>
      </c>
      <c r="Q20" s="22">
        <f t="shared" si="14"/>
        <v>748</v>
      </c>
      <c r="R20" s="23">
        <f t="shared" si="14"/>
        <v>648</v>
      </c>
    </row>
    <row r="21" spans="2:19" ht="14.25" customHeight="1" x14ac:dyDescent="0.3">
      <c r="B21" s="6" t="s">
        <v>50</v>
      </c>
      <c r="C21" s="11">
        <f t="shared" si="13"/>
        <v>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2:19" ht="14.25" customHeight="1" x14ac:dyDescent="0.3">
      <c r="B22" s="6" t="s">
        <v>29</v>
      </c>
      <c r="C22" s="17">
        <v>600</v>
      </c>
      <c r="F22" s="64" t="s">
        <v>51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3"/>
    </row>
    <row r="23" spans="2:19" ht="14.25" customHeight="1" x14ac:dyDescent="0.3">
      <c r="B23" s="6" t="s">
        <v>30</v>
      </c>
      <c r="C23" s="24">
        <v>17</v>
      </c>
      <c r="F23" s="6" t="s">
        <v>52</v>
      </c>
      <c r="G23" s="10">
        <f>C37</f>
        <v>2300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8"/>
    </row>
    <row r="24" spans="2:19" ht="14.25" customHeight="1" x14ac:dyDescent="0.3">
      <c r="B24" s="6" t="s">
        <v>32</v>
      </c>
      <c r="C24" s="17">
        <v>121</v>
      </c>
      <c r="F24" s="6" t="s">
        <v>53</v>
      </c>
      <c r="G24" s="10">
        <f t="shared" ref="G24:R24" si="15">$G$23+SUM($G$20:G20)</f>
        <v>1048</v>
      </c>
      <c r="H24" s="10">
        <f t="shared" si="15"/>
        <v>-204</v>
      </c>
      <c r="I24" s="10">
        <f t="shared" si="15"/>
        <v>-2156</v>
      </c>
      <c r="J24" s="10">
        <f t="shared" si="15"/>
        <v>-3008</v>
      </c>
      <c r="K24" s="10">
        <f t="shared" si="15"/>
        <v>-2260</v>
      </c>
      <c r="L24" s="10">
        <f t="shared" si="15"/>
        <v>-1342</v>
      </c>
      <c r="M24" s="10">
        <f t="shared" si="15"/>
        <v>-594</v>
      </c>
      <c r="N24" s="10">
        <f t="shared" si="15"/>
        <v>154</v>
      </c>
      <c r="O24" s="10">
        <f t="shared" si="15"/>
        <v>802</v>
      </c>
      <c r="P24" s="10">
        <f t="shared" si="15"/>
        <v>910</v>
      </c>
      <c r="Q24" s="10">
        <f t="shared" si="15"/>
        <v>1658</v>
      </c>
      <c r="R24" s="10">
        <f t="shared" si="15"/>
        <v>2306</v>
      </c>
      <c r="S24" s="8"/>
    </row>
    <row r="25" spans="2:19" ht="14.25" customHeight="1" x14ac:dyDescent="0.3">
      <c r="B25" s="13" t="s">
        <v>34</v>
      </c>
      <c r="C25" s="25">
        <v>44</v>
      </c>
      <c r="F25" s="6" t="s">
        <v>54</v>
      </c>
      <c r="G25" s="10">
        <f>IF(G24&lt;0,ROUNDUP(ABS(G24)/1000,0)*1000,0)</f>
        <v>0</v>
      </c>
      <c r="H25" s="10">
        <f t="shared" ref="H25:R25" si="16">IF(H20+G26&lt;0,ROUNDUP(ABS(G26+H20)/1000,0)*1000,0)</f>
        <v>1000</v>
      </c>
      <c r="I25" s="10">
        <f t="shared" si="16"/>
        <v>2000</v>
      </c>
      <c r="J25" s="10">
        <f t="shared" si="16"/>
        <v>1000</v>
      </c>
      <c r="K25" s="10">
        <f t="shared" si="16"/>
        <v>0</v>
      </c>
      <c r="L25" s="10">
        <f t="shared" si="16"/>
        <v>0</v>
      </c>
      <c r="M25" s="10">
        <f t="shared" si="16"/>
        <v>0</v>
      </c>
      <c r="N25" s="10">
        <f t="shared" si="16"/>
        <v>0</v>
      </c>
      <c r="O25" s="10">
        <f t="shared" si="16"/>
        <v>0</v>
      </c>
      <c r="P25" s="10">
        <f t="shared" si="16"/>
        <v>0</v>
      </c>
      <c r="Q25" s="10">
        <f t="shared" si="16"/>
        <v>0</v>
      </c>
      <c r="R25" s="10">
        <f t="shared" si="16"/>
        <v>0</v>
      </c>
      <c r="S25" s="11">
        <f>SUM(G25:R25)</f>
        <v>4000</v>
      </c>
    </row>
    <row r="26" spans="2:19" ht="14.25" customHeight="1" x14ac:dyDescent="0.3">
      <c r="F26" s="13" t="s">
        <v>55</v>
      </c>
      <c r="G26" s="22">
        <f t="shared" ref="G26:R26" si="17">G24+SUM($G$25:G25)</f>
        <v>1048</v>
      </c>
      <c r="H26" s="22">
        <f t="shared" si="17"/>
        <v>796</v>
      </c>
      <c r="I26" s="22">
        <f t="shared" si="17"/>
        <v>844</v>
      </c>
      <c r="J26" s="22">
        <f t="shared" si="17"/>
        <v>992</v>
      </c>
      <c r="K26" s="22">
        <f t="shared" si="17"/>
        <v>1740</v>
      </c>
      <c r="L26" s="22">
        <f t="shared" si="17"/>
        <v>2658</v>
      </c>
      <c r="M26" s="22">
        <f t="shared" si="17"/>
        <v>3406</v>
      </c>
      <c r="N26" s="22">
        <f t="shared" si="17"/>
        <v>4154</v>
      </c>
      <c r="O26" s="22">
        <f t="shared" si="17"/>
        <v>4802</v>
      </c>
      <c r="P26" s="22">
        <f t="shared" si="17"/>
        <v>4910</v>
      </c>
      <c r="Q26" s="22">
        <f t="shared" si="17"/>
        <v>5658</v>
      </c>
      <c r="R26" s="22">
        <f t="shared" si="17"/>
        <v>6306</v>
      </c>
      <c r="S26" s="26"/>
    </row>
    <row r="27" spans="2:19" ht="14.25" customHeight="1" x14ac:dyDescent="0.3">
      <c r="B27" s="62" t="s">
        <v>56</v>
      </c>
      <c r="C27" s="65"/>
      <c r="D27" s="63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2:19" ht="14.25" customHeight="1" x14ac:dyDescent="0.3">
      <c r="B28" s="6" t="s">
        <v>57</v>
      </c>
      <c r="C28" s="12">
        <v>10</v>
      </c>
      <c r="D28" s="8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2:19" ht="14.25" customHeight="1" x14ac:dyDescent="0.3">
      <c r="B29" s="6" t="s">
        <v>58</v>
      </c>
      <c r="C29" s="12">
        <v>55</v>
      </c>
      <c r="D29" s="8"/>
      <c r="F29" s="64" t="s">
        <v>59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3"/>
    </row>
    <row r="30" spans="2:19" ht="14.25" customHeight="1" x14ac:dyDescent="0.3">
      <c r="B30" s="6" t="s">
        <v>45</v>
      </c>
      <c r="C30" s="12">
        <v>300</v>
      </c>
      <c r="D30" s="27" t="s">
        <v>17</v>
      </c>
      <c r="F30" s="28">
        <f>S25</f>
        <v>4000</v>
      </c>
      <c r="G30" s="29" t="s">
        <v>15</v>
      </c>
      <c r="H30" s="29" t="s">
        <v>16</v>
      </c>
      <c r="I30" s="29" t="s">
        <v>17</v>
      </c>
      <c r="J30" s="29" t="s">
        <v>18</v>
      </c>
      <c r="K30" s="29" t="s">
        <v>19</v>
      </c>
      <c r="L30" s="29" t="s">
        <v>20</v>
      </c>
      <c r="M30" s="29" t="s">
        <v>21</v>
      </c>
      <c r="N30" s="29" t="s">
        <v>22</v>
      </c>
      <c r="O30" s="29" t="s">
        <v>23</v>
      </c>
      <c r="P30" s="29" t="s">
        <v>24</v>
      </c>
      <c r="Q30" s="29" t="s">
        <v>25</v>
      </c>
      <c r="R30" s="30" t="s">
        <v>26</v>
      </c>
    </row>
    <row r="31" spans="2:19" ht="14.25" customHeight="1" x14ac:dyDescent="0.3">
      <c r="B31" s="6" t="s">
        <v>60</v>
      </c>
      <c r="C31" s="12">
        <v>440</v>
      </c>
      <c r="D31" s="27" t="s">
        <v>24</v>
      </c>
      <c r="F31" s="31">
        <v>0</v>
      </c>
      <c r="G31" s="10">
        <v>4000</v>
      </c>
      <c r="H31" s="10">
        <v>4000</v>
      </c>
      <c r="I31" s="10">
        <v>4000</v>
      </c>
      <c r="J31" s="10">
        <v>4000</v>
      </c>
      <c r="K31" s="10">
        <v>3000</v>
      </c>
      <c r="L31" s="10">
        <v>3000</v>
      </c>
      <c r="M31" s="10">
        <v>3000</v>
      </c>
      <c r="N31" s="10">
        <v>3000</v>
      </c>
      <c r="O31" s="10">
        <v>3000</v>
      </c>
      <c r="P31" s="10">
        <v>3000</v>
      </c>
      <c r="Q31" s="10">
        <v>3000</v>
      </c>
      <c r="R31" s="11">
        <v>3000</v>
      </c>
    </row>
    <row r="32" spans="2:19" ht="14.25" customHeight="1" x14ac:dyDescent="0.3">
      <c r="B32" s="6" t="s">
        <v>61</v>
      </c>
      <c r="C32" s="12">
        <v>100</v>
      </c>
      <c r="D32" s="8"/>
      <c r="F32" s="32">
        <v>0.1</v>
      </c>
      <c r="G32" s="10">
        <v>3000</v>
      </c>
      <c r="H32" s="10">
        <v>3000</v>
      </c>
      <c r="I32" s="10">
        <v>3000</v>
      </c>
      <c r="J32" s="10">
        <v>3000</v>
      </c>
      <c r="K32" s="10">
        <v>3000</v>
      </c>
      <c r="L32" s="10">
        <v>3000</v>
      </c>
      <c r="M32" s="10">
        <v>3000</v>
      </c>
      <c r="N32" s="10">
        <v>3000</v>
      </c>
      <c r="O32" s="10">
        <v>3000</v>
      </c>
      <c r="P32" s="10">
        <v>3000</v>
      </c>
      <c r="Q32" s="10">
        <v>3000</v>
      </c>
      <c r="R32" s="11">
        <v>3000</v>
      </c>
    </row>
    <row r="33" spans="2:18" ht="14.25" customHeight="1" x14ac:dyDescent="0.3">
      <c r="B33" s="13" t="s">
        <v>62</v>
      </c>
      <c r="C33" s="14">
        <v>200</v>
      </c>
      <c r="D33" s="15" t="s">
        <v>24</v>
      </c>
      <c r="F33" s="32">
        <v>0.2</v>
      </c>
      <c r="G33" s="10">
        <v>3000</v>
      </c>
      <c r="H33" s="10">
        <v>3000</v>
      </c>
      <c r="I33" s="10">
        <v>3000</v>
      </c>
      <c r="J33" s="10">
        <v>3000</v>
      </c>
      <c r="K33" s="10">
        <v>2000</v>
      </c>
      <c r="L33" s="10">
        <v>2000</v>
      </c>
      <c r="M33" s="10">
        <v>2000</v>
      </c>
      <c r="N33" s="10">
        <v>2000</v>
      </c>
      <c r="O33" s="10">
        <v>2000</v>
      </c>
      <c r="P33" s="10">
        <v>2000</v>
      </c>
      <c r="Q33" s="10">
        <v>2000</v>
      </c>
      <c r="R33" s="11">
        <v>2000</v>
      </c>
    </row>
    <row r="34" spans="2:18" ht="14.25" customHeight="1" x14ac:dyDescent="0.3">
      <c r="C34" s="16"/>
      <c r="F34" s="33">
        <v>0.3</v>
      </c>
      <c r="G34" s="10">
        <v>3000</v>
      </c>
      <c r="H34" s="10">
        <v>3000</v>
      </c>
      <c r="I34" s="10">
        <v>3000</v>
      </c>
      <c r="J34" s="10">
        <v>3000</v>
      </c>
      <c r="K34" s="10">
        <v>2000</v>
      </c>
      <c r="L34" s="10">
        <v>2000</v>
      </c>
      <c r="M34" s="10">
        <v>2000</v>
      </c>
      <c r="N34" s="10">
        <v>2000</v>
      </c>
      <c r="O34" s="10">
        <v>2000</v>
      </c>
      <c r="P34" s="10">
        <v>2000</v>
      </c>
      <c r="Q34" s="10">
        <v>2000</v>
      </c>
      <c r="R34" s="11">
        <v>2000</v>
      </c>
    </row>
    <row r="35" spans="2:18" ht="14.25" customHeight="1" x14ac:dyDescent="0.3">
      <c r="B35" s="34" t="s">
        <v>63</v>
      </c>
      <c r="C35" s="35">
        <v>270</v>
      </c>
      <c r="D35" s="36" t="s">
        <v>20</v>
      </c>
      <c r="F35" s="32">
        <v>0.4</v>
      </c>
      <c r="G35" s="10">
        <v>3000</v>
      </c>
      <c r="H35" s="10">
        <v>3000</v>
      </c>
      <c r="I35" s="10">
        <v>3000</v>
      </c>
      <c r="J35" s="10">
        <v>3000</v>
      </c>
      <c r="K35" s="10">
        <v>2000</v>
      </c>
      <c r="L35" s="10">
        <v>2000</v>
      </c>
      <c r="M35" s="10">
        <v>2000</v>
      </c>
      <c r="N35" s="10">
        <v>2000</v>
      </c>
      <c r="O35" s="10">
        <v>2000</v>
      </c>
      <c r="P35" s="10">
        <v>2000</v>
      </c>
      <c r="Q35" s="10">
        <v>2000</v>
      </c>
      <c r="R35" s="11">
        <v>2000</v>
      </c>
    </row>
    <row r="36" spans="2:18" ht="14.25" customHeight="1" x14ac:dyDescent="0.3">
      <c r="C36" s="16"/>
      <c r="F36" s="32">
        <v>0.5</v>
      </c>
      <c r="G36" s="10">
        <v>2000</v>
      </c>
      <c r="H36" s="10">
        <v>2000</v>
      </c>
      <c r="I36" s="10">
        <v>2000</v>
      </c>
      <c r="J36" s="10">
        <v>2000</v>
      </c>
      <c r="K36" s="10">
        <v>2000</v>
      </c>
      <c r="L36" s="10">
        <v>2000</v>
      </c>
      <c r="M36" s="10">
        <v>2000</v>
      </c>
      <c r="N36" s="10">
        <v>2000</v>
      </c>
      <c r="O36" s="10">
        <v>2000</v>
      </c>
      <c r="P36" s="10">
        <v>2000</v>
      </c>
      <c r="Q36" s="10">
        <v>2000</v>
      </c>
      <c r="R36" s="11">
        <v>2000</v>
      </c>
    </row>
    <row r="37" spans="2:18" ht="14.25" customHeight="1" x14ac:dyDescent="0.3">
      <c r="B37" s="34" t="s">
        <v>64</v>
      </c>
      <c r="C37" s="37">
        <v>2300</v>
      </c>
      <c r="F37" s="32">
        <v>0.6</v>
      </c>
      <c r="G37" s="10">
        <v>2000</v>
      </c>
      <c r="H37" s="10">
        <v>2000</v>
      </c>
      <c r="I37" s="10">
        <v>2000</v>
      </c>
      <c r="J37" s="10">
        <v>2000</v>
      </c>
      <c r="K37" s="10">
        <v>1000</v>
      </c>
      <c r="L37" s="10">
        <v>1000</v>
      </c>
      <c r="M37" s="10">
        <v>1000</v>
      </c>
      <c r="N37" s="10">
        <v>1000</v>
      </c>
      <c r="O37" s="10">
        <v>1000</v>
      </c>
      <c r="P37" s="10">
        <v>1000</v>
      </c>
      <c r="Q37" s="10">
        <v>1000</v>
      </c>
      <c r="R37" s="11">
        <v>1000</v>
      </c>
    </row>
    <row r="38" spans="2:18" ht="14.25" customHeight="1" x14ac:dyDescent="0.3">
      <c r="C38" s="16"/>
      <c r="F38" s="32">
        <v>0.7</v>
      </c>
      <c r="G38" s="10">
        <v>2000</v>
      </c>
      <c r="H38" s="10">
        <v>2000</v>
      </c>
      <c r="I38" s="10">
        <v>2000</v>
      </c>
      <c r="J38" s="10">
        <v>2000</v>
      </c>
      <c r="K38" s="10">
        <v>1000</v>
      </c>
      <c r="L38" s="10">
        <v>1000</v>
      </c>
      <c r="M38" s="10">
        <v>1000</v>
      </c>
      <c r="N38" s="10">
        <v>1000</v>
      </c>
      <c r="O38" s="10">
        <v>1000</v>
      </c>
      <c r="P38" s="10">
        <v>1000</v>
      </c>
      <c r="Q38" s="10">
        <v>1000</v>
      </c>
      <c r="R38" s="11">
        <v>1000</v>
      </c>
    </row>
    <row r="39" spans="2:18" ht="14.25" customHeight="1" x14ac:dyDescent="0.3">
      <c r="B39" s="34" t="s">
        <v>65</v>
      </c>
      <c r="C39" s="38">
        <v>0</v>
      </c>
      <c r="F39" s="32">
        <v>0.8</v>
      </c>
      <c r="G39" s="10">
        <v>2000</v>
      </c>
      <c r="H39" s="10">
        <v>2000</v>
      </c>
      <c r="I39" s="10">
        <v>2000</v>
      </c>
      <c r="J39" s="10">
        <v>2000</v>
      </c>
      <c r="K39" s="10">
        <v>1000</v>
      </c>
      <c r="L39" s="10">
        <v>1000</v>
      </c>
      <c r="M39" s="10">
        <v>1000</v>
      </c>
      <c r="N39" s="10">
        <v>1000</v>
      </c>
      <c r="O39" s="10">
        <v>1000</v>
      </c>
      <c r="P39" s="10">
        <v>1000</v>
      </c>
      <c r="Q39" s="10">
        <v>1000</v>
      </c>
      <c r="R39" s="11">
        <v>1000</v>
      </c>
    </row>
    <row r="40" spans="2:18" ht="14.25" customHeight="1" x14ac:dyDescent="0.3">
      <c r="F40" s="32">
        <v>0.9</v>
      </c>
      <c r="G40" s="10">
        <v>2000</v>
      </c>
      <c r="H40" s="10">
        <v>2000</v>
      </c>
      <c r="I40" s="10">
        <v>2000</v>
      </c>
      <c r="J40" s="10">
        <v>2000</v>
      </c>
      <c r="K40" s="10">
        <v>1000</v>
      </c>
      <c r="L40" s="10">
        <v>1000</v>
      </c>
      <c r="M40" s="10">
        <v>1000</v>
      </c>
      <c r="N40" s="10">
        <v>1000</v>
      </c>
      <c r="O40" s="10">
        <v>1000</v>
      </c>
      <c r="P40" s="10">
        <v>1000</v>
      </c>
      <c r="Q40" s="10">
        <v>1000</v>
      </c>
      <c r="R40" s="11">
        <v>1000</v>
      </c>
    </row>
    <row r="41" spans="2:18" ht="14.25" customHeight="1" x14ac:dyDescent="0.3">
      <c r="F41" s="32">
        <v>1</v>
      </c>
      <c r="G41" s="10">
        <v>1000</v>
      </c>
      <c r="H41" s="10">
        <v>1000</v>
      </c>
      <c r="I41" s="10">
        <v>1000</v>
      </c>
      <c r="J41" s="10">
        <v>1000</v>
      </c>
      <c r="K41" s="10">
        <v>1000</v>
      </c>
      <c r="L41" s="10">
        <v>1000</v>
      </c>
      <c r="M41" s="10">
        <v>1000</v>
      </c>
      <c r="N41" s="10">
        <v>1000</v>
      </c>
      <c r="O41" s="10">
        <v>1000</v>
      </c>
      <c r="P41" s="10">
        <v>1000</v>
      </c>
      <c r="Q41" s="10">
        <v>1000</v>
      </c>
      <c r="R41" s="11">
        <v>1000</v>
      </c>
    </row>
    <row r="42" spans="2:18" ht="14.25" customHeight="1" x14ac:dyDescent="0.3">
      <c r="B42" s="62" t="s">
        <v>66</v>
      </c>
      <c r="C42" s="63"/>
      <c r="F42" s="32">
        <v>1.1000000000000001</v>
      </c>
      <c r="G42" s="10">
        <v>1000</v>
      </c>
      <c r="H42" s="10">
        <v>1000</v>
      </c>
      <c r="I42" s="10">
        <v>1000</v>
      </c>
      <c r="J42" s="10">
        <v>1000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1">
        <v>0</v>
      </c>
    </row>
    <row r="43" spans="2:18" ht="14.25" customHeight="1" x14ac:dyDescent="0.3">
      <c r="B43" s="13" t="s">
        <v>65</v>
      </c>
      <c r="C43" s="38">
        <v>2.41</v>
      </c>
      <c r="F43" s="32">
        <v>1.2</v>
      </c>
      <c r="G43" s="10">
        <v>1000</v>
      </c>
      <c r="H43" s="10">
        <v>1000</v>
      </c>
      <c r="I43" s="10">
        <v>1000</v>
      </c>
      <c r="J43" s="10">
        <v>1000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1">
        <v>0</v>
      </c>
    </row>
    <row r="44" spans="2:18" ht="14.25" customHeight="1" x14ac:dyDescent="0.3">
      <c r="F44" s="32">
        <v>1.3</v>
      </c>
      <c r="G44" s="10">
        <v>1000</v>
      </c>
      <c r="H44" s="10">
        <v>1000</v>
      </c>
      <c r="I44" s="10">
        <v>1000</v>
      </c>
      <c r="J44" s="10">
        <v>1000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1">
        <v>0</v>
      </c>
    </row>
    <row r="45" spans="2:18" ht="14.25" customHeight="1" x14ac:dyDescent="0.3">
      <c r="F45" s="32">
        <v>1.4</v>
      </c>
      <c r="G45" s="10">
        <v>1000</v>
      </c>
      <c r="H45" s="10">
        <v>1000</v>
      </c>
      <c r="I45" s="10">
        <v>1000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1">
        <v>0</v>
      </c>
    </row>
    <row r="46" spans="2:18" ht="14.25" customHeight="1" x14ac:dyDescent="0.3">
      <c r="F46" s="39">
        <v>1.5</v>
      </c>
      <c r="G46" s="22">
        <v>1000</v>
      </c>
      <c r="H46" s="22">
        <v>1000</v>
      </c>
      <c r="I46" s="22">
        <v>1000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3">
        <v>0</v>
      </c>
    </row>
    <row r="47" spans="2:18" ht="14.25" customHeight="1" x14ac:dyDescent="0.3">
      <c r="B47" s="62" t="s">
        <v>67</v>
      </c>
      <c r="C47" s="63"/>
      <c r="F47" s="16"/>
      <c r="G47" s="40"/>
      <c r="H47" s="40"/>
      <c r="I47" s="40"/>
    </row>
    <row r="48" spans="2:18" ht="14.25" customHeight="1" x14ac:dyDescent="0.3">
      <c r="B48" s="6" t="s">
        <v>68</v>
      </c>
      <c r="C48" s="41">
        <v>4</v>
      </c>
      <c r="F48" s="64" t="s">
        <v>69</v>
      </c>
      <c r="G48" s="65"/>
      <c r="H48" s="65"/>
      <c r="I48" s="63"/>
    </row>
    <row r="49" spans="2:9" ht="14.25" customHeight="1" x14ac:dyDescent="0.3">
      <c r="B49" s="13" t="s">
        <v>70</v>
      </c>
      <c r="C49" s="42">
        <v>0</v>
      </c>
      <c r="F49" s="33">
        <f>S25</f>
        <v>4000</v>
      </c>
      <c r="G49" s="43">
        <v>2</v>
      </c>
      <c r="H49" s="43">
        <v>3</v>
      </c>
      <c r="I49" s="44">
        <v>4</v>
      </c>
    </row>
    <row r="50" spans="2:9" ht="14.25" customHeight="1" x14ac:dyDescent="0.3">
      <c r="F50" s="9">
        <v>0</v>
      </c>
      <c r="G50" s="10">
        <v>3000</v>
      </c>
      <c r="H50" s="10">
        <v>4000</v>
      </c>
      <c r="I50" s="11">
        <v>4000</v>
      </c>
    </row>
    <row r="51" spans="2:9" ht="14.25" customHeight="1" x14ac:dyDescent="0.3">
      <c r="F51" s="9">
        <v>1</v>
      </c>
      <c r="G51" s="10">
        <v>4000</v>
      </c>
      <c r="H51" s="10">
        <v>4000</v>
      </c>
      <c r="I51" s="11">
        <v>4000</v>
      </c>
    </row>
    <row r="52" spans="2:9" ht="14.25" customHeight="1" x14ac:dyDescent="0.3">
      <c r="F52" s="21">
        <v>2</v>
      </c>
      <c r="G52" s="22">
        <v>4000</v>
      </c>
      <c r="H52" s="22">
        <v>4000</v>
      </c>
      <c r="I52" s="23">
        <v>4000</v>
      </c>
    </row>
    <row r="53" spans="2:9" ht="14.25" customHeight="1" x14ac:dyDescent="0.3"/>
    <row r="54" spans="2:9" ht="14.25" customHeight="1" x14ac:dyDescent="0.3">
      <c r="G54" s="16"/>
    </row>
    <row r="55" spans="2:9" ht="14.25" customHeight="1" x14ac:dyDescent="0.3">
      <c r="G55" s="16"/>
    </row>
    <row r="56" spans="2:9" ht="14.25" customHeight="1" x14ac:dyDescent="0.3">
      <c r="G56" s="16"/>
    </row>
    <row r="57" spans="2:9" ht="14.25" customHeight="1" x14ac:dyDescent="0.3"/>
    <row r="58" spans="2:9" ht="14.25" customHeight="1" x14ac:dyDescent="0.3">
      <c r="F58" s="16"/>
    </row>
    <row r="59" spans="2:9" ht="14.25" customHeight="1" x14ac:dyDescent="0.3">
      <c r="G59" s="16"/>
      <c r="H59" s="16"/>
      <c r="I59" s="16"/>
    </row>
    <row r="60" spans="2:9" ht="14.25" customHeight="1" x14ac:dyDescent="0.3">
      <c r="G60" s="16"/>
      <c r="H60" s="16"/>
      <c r="I60" s="16"/>
    </row>
    <row r="61" spans="2:9" ht="14.25" customHeight="1" x14ac:dyDescent="0.3">
      <c r="G61" s="16"/>
      <c r="H61" s="16"/>
      <c r="I61" s="16"/>
    </row>
    <row r="62" spans="2:9" ht="14.25" customHeight="1" x14ac:dyDescent="0.3"/>
    <row r="63" spans="2:9" ht="14.25" customHeight="1" x14ac:dyDescent="0.3"/>
    <row r="64" spans="2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">
    <mergeCell ref="B47:C47"/>
    <mergeCell ref="F48:I48"/>
    <mergeCell ref="B2:D2"/>
    <mergeCell ref="B10:C10"/>
    <mergeCell ref="B17:C17"/>
    <mergeCell ref="F22:S22"/>
    <mergeCell ref="B27:D27"/>
    <mergeCell ref="F29:R29"/>
    <mergeCell ref="B42:C42"/>
  </mergeCells>
  <conditionalFormatting sqref="G50:I52">
    <cfRule type="colorScale" priority="9">
      <colorScale>
        <cfvo type="min"/>
        <cfvo type="max"/>
        <color rgb="FF63BE7B"/>
        <color rgb="FFFCFCFF"/>
      </colorScale>
    </cfRule>
  </conditionalFormatting>
  <conditionalFormatting sqref="G20:R20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G24:R24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26:R26">
    <cfRule type="cellIs" dxfId="1" priority="5" operator="lessThan">
      <formula>0</formula>
    </cfRule>
    <cfRule type="cellIs" dxfId="0" priority="6" operator="greaterThan">
      <formula>0</formula>
    </cfRule>
  </conditionalFormatting>
  <conditionalFormatting sqref="G31:R46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ErrorMessage="1" sqref="C49" xr:uid="{00000000-0002-0000-0100-000000000000}">
      <formula1>"0,1,2"</formula1>
    </dataValidation>
    <dataValidation type="list" allowBlank="1" showErrorMessage="1" sqref="D8 C15 D30:D31 D33 D35" xr:uid="{00000000-0002-0000-0100-000001000000}">
      <formula1>Monthlist</formula1>
    </dataValidation>
    <dataValidation type="list" allowBlank="1" showErrorMessage="1" sqref="C48" xr:uid="{00000000-0002-0000-0100-000002000000}">
      <formula1>"2,3,4"</formula1>
    </dataValidation>
  </dataValidation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E1:Q1000"/>
  <sheetViews>
    <sheetView showGridLines="0" topLeftCell="A32" workbookViewId="0"/>
  </sheetViews>
  <sheetFormatPr defaultColWidth="12.6640625" defaultRowHeight="15" customHeight="1" x14ac:dyDescent="0.3"/>
  <cols>
    <col min="1" max="4" width="8.6640625" customWidth="1"/>
    <col min="5" max="5" width="14.88671875" customWidth="1"/>
    <col min="6" max="8" width="10.44140625" customWidth="1"/>
    <col min="9" max="26" width="8.6640625" customWidth="1"/>
  </cols>
  <sheetData>
    <row r="1" spans="5:17" ht="14.25" customHeight="1" x14ac:dyDescent="0.3"/>
    <row r="2" spans="5:17" ht="14.25" customHeight="1" x14ac:dyDescent="0.3">
      <c r="E2" s="16"/>
    </row>
    <row r="3" spans="5:17" ht="14.25" customHeight="1" x14ac:dyDescent="0.3"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5:17" ht="14.25" customHeight="1" x14ac:dyDescent="0.3"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5:17" ht="14.25" customHeight="1" x14ac:dyDescent="0.3"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5:17" ht="14.25" customHeight="1" x14ac:dyDescent="0.3"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5:17" ht="14.25" customHeight="1" x14ac:dyDescent="0.3"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5:17" ht="14.25" customHeight="1" x14ac:dyDescent="0.3"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5:17" ht="14.25" customHeight="1" x14ac:dyDescent="0.3"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5:17" ht="14.25" customHeight="1" x14ac:dyDescent="0.3"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5:17" ht="14.25" customHeight="1" x14ac:dyDescent="0.3"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5:17" ht="14.25" customHeight="1" x14ac:dyDescent="0.3"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5:17" ht="14.25" customHeight="1" x14ac:dyDescent="0.3"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5:17" ht="14.25" customHeight="1" x14ac:dyDescent="0.3"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5:17" ht="14.25" customHeight="1" x14ac:dyDescent="0.3"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5:17" ht="14.25" customHeight="1" x14ac:dyDescent="0.3"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5:17" ht="14.25" customHeight="1" x14ac:dyDescent="0.3"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5:17" ht="14.25" customHeight="1" x14ac:dyDescent="0.3"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5:17" ht="14.25" customHeight="1" x14ac:dyDescent="0.3"/>
    <row r="20" spans="5:17" ht="14.25" customHeight="1" x14ac:dyDescent="0.3">
      <c r="E20" s="16"/>
      <c r="F20" s="40"/>
      <c r="G20" s="40"/>
      <c r="H20" s="40"/>
    </row>
    <row r="21" spans="5:17" ht="14.25" customHeight="1" x14ac:dyDescent="0.3">
      <c r="F21" s="16"/>
      <c r="G21" s="16"/>
      <c r="H21" s="16"/>
    </row>
    <row r="22" spans="5:17" ht="14.25" customHeight="1" x14ac:dyDescent="0.3">
      <c r="F22" s="16"/>
      <c r="G22" s="16"/>
      <c r="H22" s="16"/>
    </row>
    <row r="23" spans="5:17" ht="14.25" customHeight="1" x14ac:dyDescent="0.3">
      <c r="F23" s="16"/>
      <c r="G23" s="16"/>
      <c r="H23" s="16"/>
    </row>
    <row r="24" spans="5:17" ht="14.25" customHeight="1" x14ac:dyDescent="0.3"/>
    <row r="25" spans="5:17" ht="14.25" customHeight="1" x14ac:dyDescent="0.3"/>
    <row r="26" spans="5:17" ht="14.25" customHeight="1" x14ac:dyDescent="0.3"/>
    <row r="27" spans="5:17" ht="14.25" customHeight="1" x14ac:dyDescent="0.3">
      <c r="E27" s="64" t="s">
        <v>59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3"/>
    </row>
    <row r="28" spans="5:17" ht="14.25" customHeight="1" x14ac:dyDescent="0.3">
      <c r="E28" s="33">
        <f>Model!$S$25</f>
        <v>4000</v>
      </c>
      <c r="F28" s="45" t="s">
        <v>15</v>
      </c>
      <c r="G28" s="45" t="s">
        <v>16</v>
      </c>
      <c r="H28" s="45" t="s">
        <v>17</v>
      </c>
      <c r="I28" s="45" t="s">
        <v>18</v>
      </c>
      <c r="J28" s="45" t="s">
        <v>19</v>
      </c>
      <c r="K28" s="45" t="s">
        <v>20</v>
      </c>
      <c r="L28" s="45" t="s">
        <v>21</v>
      </c>
      <c r="M28" s="45" t="s">
        <v>22</v>
      </c>
      <c r="N28" s="45" t="s">
        <v>23</v>
      </c>
      <c r="O28" s="45" t="s">
        <v>24</v>
      </c>
      <c r="P28" s="45" t="s">
        <v>25</v>
      </c>
      <c r="Q28" s="46" t="s">
        <v>26</v>
      </c>
    </row>
    <row r="29" spans="5:17" ht="14.25" customHeight="1" x14ac:dyDescent="0.3">
      <c r="E29" s="32">
        <v>0</v>
      </c>
      <c r="F29" s="10">
        <v>4000</v>
      </c>
      <c r="G29" s="10">
        <v>4000</v>
      </c>
      <c r="H29" s="10">
        <v>4000</v>
      </c>
      <c r="I29" s="10">
        <v>4000</v>
      </c>
      <c r="J29" s="10">
        <v>3000</v>
      </c>
      <c r="K29" s="10">
        <v>3000</v>
      </c>
      <c r="L29" s="10">
        <v>3000</v>
      </c>
      <c r="M29" s="10">
        <v>3000</v>
      </c>
      <c r="N29" s="10">
        <v>3000</v>
      </c>
      <c r="O29" s="10">
        <v>3000</v>
      </c>
      <c r="P29" s="10">
        <v>3000</v>
      </c>
      <c r="Q29" s="11">
        <v>3000</v>
      </c>
    </row>
    <row r="30" spans="5:17" ht="14.25" customHeight="1" x14ac:dyDescent="0.3">
      <c r="E30" s="32">
        <v>0.1</v>
      </c>
      <c r="F30" s="10">
        <v>3000</v>
      </c>
      <c r="G30" s="10">
        <v>3000</v>
      </c>
      <c r="H30" s="10">
        <v>3000</v>
      </c>
      <c r="I30" s="10">
        <v>3000</v>
      </c>
      <c r="J30" s="10">
        <v>3000</v>
      </c>
      <c r="K30" s="10">
        <v>3000</v>
      </c>
      <c r="L30" s="10">
        <v>3000</v>
      </c>
      <c r="M30" s="10">
        <v>3000</v>
      </c>
      <c r="N30" s="10">
        <v>3000</v>
      </c>
      <c r="O30" s="10">
        <v>3000</v>
      </c>
      <c r="P30" s="10">
        <v>3000</v>
      </c>
      <c r="Q30" s="11">
        <v>3000</v>
      </c>
    </row>
    <row r="31" spans="5:17" ht="14.25" customHeight="1" x14ac:dyDescent="0.3">
      <c r="E31" s="32">
        <v>0.2</v>
      </c>
      <c r="F31" s="10">
        <v>3000</v>
      </c>
      <c r="G31" s="10">
        <v>3000</v>
      </c>
      <c r="H31" s="10">
        <v>3000</v>
      </c>
      <c r="I31" s="10">
        <v>3000</v>
      </c>
      <c r="J31" s="10">
        <v>2000</v>
      </c>
      <c r="K31" s="10">
        <v>2000</v>
      </c>
      <c r="L31" s="10">
        <v>2000</v>
      </c>
      <c r="M31" s="10">
        <v>2000</v>
      </c>
      <c r="N31" s="10">
        <v>2000</v>
      </c>
      <c r="O31" s="10">
        <v>2000</v>
      </c>
      <c r="P31" s="10">
        <v>2000</v>
      </c>
      <c r="Q31" s="11">
        <v>2000</v>
      </c>
    </row>
    <row r="32" spans="5:17" ht="14.25" customHeight="1" x14ac:dyDescent="0.3">
      <c r="E32" s="32">
        <v>0.3</v>
      </c>
      <c r="F32" s="10">
        <v>3000</v>
      </c>
      <c r="G32" s="10">
        <v>3000</v>
      </c>
      <c r="H32" s="10">
        <v>3000</v>
      </c>
      <c r="I32" s="10">
        <v>3000</v>
      </c>
      <c r="J32" s="10">
        <v>2000</v>
      </c>
      <c r="K32" s="10">
        <v>2000</v>
      </c>
      <c r="L32" s="10">
        <v>2000</v>
      </c>
      <c r="M32" s="10">
        <v>2000</v>
      </c>
      <c r="N32" s="10">
        <v>2000</v>
      </c>
      <c r="O32" s="10">
        <v>2000</v>
      </c>
      <c r="P32" s="10">
        <v>2000</v>
      </c>
      <c r="Q32" s="11">
        <v>2000</v>
      </c>
    </row>
    <row r="33" spans="5:17" ht="14.25" customHeight="1" x14ac:dyDescent="0.3">
      <c r="E33" s="32">
        <v>0.4</v>
      </c>
      <c r="F33" s="10">
        <v>3000</v>
      </c>
      <c r="G33" s="10">
        <v>3000</v>
      </c>
      <c r="H33" s="10">
        <v>3000</v>
      </c>
      <c r="I33" s="10">
        <v>3000</v>
      </c>
      <c r="J33" s="10">
        <v>2000</v>
      </c>
      <c r="K33" s="10">
        <v>2000</v>
      </c>
      <c r="L33" s="10">
        <v>2000</v>
      </c>
      <c r="M33" s="10">
        <v>2000</v>
      </c>
      <c r="N33" s="10">
        <v>2000</v>
      </c>
      <c r="O33" s="10">
        <v>2000</v>
      </c>
      <c r="P33" s="10">
        <v>2000</v>
      </c>
      <c r="Q33" s="11">
        <v>2000</v>
      </c>
    </row>
    <row r="34" spans="5:17" ht="14.25" customHeight="1" x14ac:dyDescent="0.3">
      <c r="E34" s="32">
        <v>0.5</v>
      </c>
      <c r="F34" s="10">
        <v>2000</v>
      </c>
      <c r="G34" s="10">
        <v>2000</v>
      </c>
      <c r="H34" s="10">
        <v>2000</v>
      </c>
      <c r="I34" s="10">
        <v>2000</v>
      </c>
      <c r="J34" s="10">
        <v>2000</v>
      </c>
      <c r="K34" s="10">
        <v>2000</v>
      </c>
      <c r="L34" s="10">
        <v>2000</v>
      </c>
      <c r="M34" s="10">
        <v>2000</v>
      </c>
      <c r="N34" s="10">
        <v>2000</v>
      </c>
      <c r="O34" s="10">
        <v>2000</v>
      </c>
      <c r="P34" s="10">
        <v>2000</v>
      </c>
      <c r="Q34" s="11">
        <v>2000</v>
      </c>
    </row>
    <row r="35" spans="5:17" ht="14.25" customHeight="1" x14ac:dyDescent="0.3">
      <c r="E35" s="32">
        <v>0.6</v>
      </c>
      <c r="F35" s="10">
        <v>2000</v>
      </c>
      <c r="G35" s="10">
        <v>2000</v>
      </c>
      <c r="H35" s="10">
        <v>2000</v>
      </c>
      <c r="I35" s="10">
        <v>2000</v>
      </c>
      <c r="J35" s="10">
        <v>1000</v>
      </c>
      <c r="K35" s="10">
        <v>1000</v>
      </c>
      <c r="L35" s="10">
        <v>1000</v>
      </c>
      <c r="M35" s="10">
        <v>1000</v>
      </c>
      <c r="N35" s="10">
        <v>1000</v>
      </c>
      <c r="O35" s="10">
        <v>1000</v>
      </c>
      <c r="P35" s="10">
        <v>1000</v>
      </c>
      <c r="Q35" s="11">
        <v>1000</v>
      </c>
    </row>
    <row r="36" spans="5:17" ht="14.25" customHeight="1" x14ac:dyDescent="0.3">
      <c r="E36" s="32">
        <v>0.7</v>
      </c>
      <c r="F36" s="10">
        <v>2000</v>
      </c>
      <c r="G36" s="10">
        <v>2000</v>
      </c>
      <c r="H36" s="10">
        <v>2000</v>
      </c>
      <c r="I36" s="10">
        <v>2000</v>
      </c>
      <c r="J36" s="10">
        <v>1000</v>
      </c>
      <c r="K36" s="10">
        <v>1000</v>
      </c>
      <c r="L36" s="10">
        <v>1000</v>
      </c>
      <c r="M36" s="10">
        <v>1000</v>
      </c>
      <c r="N36" s="10">
        <v>1000</v>
      </c>
      <c r="O36" s="10">
        <v>1000</v>
      </c>
      <c r="P36" s="10">
        <v>1000</v>
      </c>
      <c r="Q36" s="11">
        <v>1000</v>
      </c>
    </row>
    <row r="37" spans="5:17" ht="14.25" customHeight="1" x14ac:dyDescent="0.3">
      <c r="E37" s="32">
        <v>0.8</v>
      </c>
      <c r="F37" s="10">
        <v>2000</v>
      </c>
      <c r="G37" s="10">
        <v>2000</v>
      </c>
      <c r="H37" s="10">
        <v>2000</v>
      </c>
      <c r="I37" s="10">
        <v>2000</v>
      </c>
      <c r="J37" s="10">
        <v>1000</v>
      </c>
      <c r="K37" s="10">
        <v>1000</v>
      </c>
      <c r="L37" s="10">
        <v>1000</v>
      </c>
      <c r="M37" s="10">
        <v>1000</v>
      </c>
      <c r="N37" s="10">
        <v>1000</v>
      </c>
      <c r="O37" s="10">
        <v>1000</v>
      </c>
      <c r="P37" s="10">
        <v>1000</v>
      </c>
      <c r="Q37" s="11">
        <v>1000</v>
      </c>
    </row>
    <row r="38" spans="5:17" ht="14.25" customHeight="1" x14ac:dyDescent="0.3">
      <c r="E38" s="32">
        <v>0.9</v>
      </c>
      <c r="F38" s="10">
        <v>2000</v>
      </c>
      <c r="G38" s="10">
        <v>2000</v>
      </c>
      <c r="H38" s="10">
        <v>2000</v>
      </c>
      <c r="I38" s="10">
        <v>2000</v>
      </c>
      <c r="J38" s="10">
        <v>1000</v>
      </c>
      <c r="K38" s="10">
        <v>1000</v>
      </c>
      <c r="L38" s="10">
        <v>1000</v>
      </c>
      <c r="M38" s="10">
        <v>1000</v>
      </c>
      <c r="N38" s="10">
        <v>1000</v>
      </c>
      <c r="O38" s="10">
        <v>1000</v>
      </c>
      <c r="P38" s="10">
        <v>1000</v>
      </c>
      <c r="Q38" s="11">
        <v>1000</v>
      </c>
    </row>
    <row r="39" spans="5:17" ht="14.25" customHeight="1" x14ac:dyDescent="0.3">
      <c r="E39" s="32">
        <v>1</v>
      </c>
      <c r="F39" s="10">
        <v>1000</v>
      </c>
      <c r="G39" s="10">
        <v>1000</v>
      </c>
      <c r="H39" s="10">
        <v>1000</v>
      </c>
      <c r="I39" s="10">
        <v>1000</v>
      </c>
      <c r="J39" s="10">
        <v>1000</v>
      </c>
      <c r="K39" s="10">
        <v>1000</v>
      </c>
      <c r="L39" s="10">
        <v>1000</v>
      </c>
      <c r="M39" s="10">
        <v>1000</v>
      </c>
      <c r="N39" s="10">
        <v>1000</v>
      </c>
      <c r="O39" s="10">
        <v>1000</v>
      </c>
      <c r="P39" s="10">
        <v>1000</v>
      </c>
      <c r="Q39" s="11">
        <v>1000</v>
      </c>
    </row>
    <row r="40" spans="5:17" ht="14.25" customHeight="1" x14ac:dyDescent="0.3">
      <c r="E40" s="32">
        <v>1.1000000000000001</v>
      </c>
      <c r="F40" s="10">
        <v>1000</v>
      </c>
      <c r="G40" s="10">
        <v>1000</v>
      </c>
      <c r="H40" s="10">
        <v>1000</v>
      </c>
      <c r="I40" s="10">
        <v>1000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1">
        <v>0</v>
      </c>
    </row>
    <row r="41" spans="5:17" ht="14.25" customHeight="1" x14ac:dyDescent="0.3">
      <c r="E41" s="32">
        <v>1.2</v>
      </c>
      <c r="F41" s="10">
        <v>1000</v>
      </c>
      <c r="G41" s="10">
        <v>1000</v>
      </c>
      <c r="H41" s="10">
        <v>1000</v>
      </c>
      <c r="I41" s="10">
        <v>1000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1">
        <v>0</v>
      </c>
    </row>
    <row r="42" spans="5:17" ht="14.25" customHeight="1" x14ac:dyDescent="0.3">
      <c r="E42" s="32">
        <v>1.3</v>
      </c>
      <c r="F42" s="10">
        <v>1000</v>
      </c>
      <c r="G42" s="10">
        <v>1000</v>
      </c>
      <c r="H42" s="10">
        <v>1000</v>
      </c>
      <c r="I42" s="10">
        <v>1000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1">
        <v>0</v>
      </c>
    </row>
    <row r="43" spans="5:17" ht="14.25" customHeight="1" x14ac:dyDescent="0.3">
      <c r="E43" s="32">
        <v>1.4</v>
      </c>
      <c r="F43" s="10">
        <v>1000</v>
      </c>
      <c r="G43" s="10">
        <v>1000</v>
      </c>
      <c r="H43" s="10">
        <v>1000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1">
        <v>0</v>
      </c>
    </row>
    <row r="44" spans="5:17" ht="14.25" customHeight="1" x14ac:dyDescent="0.3">
      <c r="E44" s="39">
        <v>1.5</v>
      </c>
      <c r="F44" s="22">
        <v>1000</v>
      </c>
      <c r="G44" s="22">
        <v>1000</v>
      </c>
      <c r="H44" s="22">
        <v>1000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3">
        <v>0</v>
      </c>
    </row>
    <row r="45" spans="5:17" ht="14.25" customHeight="1" x14ac:dyDescent="0.3"/>
    <row r="46" spans="5:17" ht="14.25" customHeight="1" x14ac:dyDescent="0.3">
      <c r="E46" s="64" t="s">
        <v>69</v>
      </c>
      <c r="F46" s="65"/>
      <c r="G46" s="65"/>
      <c r="H46" s="63"/>
    </row>
    <row r="47" spans="5:17" ht="14.25" customHeight="1" x14ac:dyDescent="0.3">
      <c r="E47" s="33">
        <f>Model!$S$25</f>
        <v>4000</v>
      </c>
      <c r="F47" s="45">
        <v>2</v>
      </c>
      <c r="G47" s="45">
        <v>3</v>
      </c>
      <c r="H47" s="46">
        <v>4</v>
      </c>
    </row>
    <row r="48" spans="5:17" ht="14.25" customHeight="1" x14ac:dyDescent="0.3">
      <c r="E48" s="9">
        <v>0</v>
      </c>
      <c r="F48" s="10">
        <v>3000</v>
      </c>
      <c r="G48" s="10">
        <v>4000</v>
      </c>
      <c r="H48" s="11">
        <v>4000</v>
      </c>
    </row>
    <row r="49" spans="5:8" ht="14.25" customHeight="1" x14ac:dyDescent="0.3">
      <c r="E49" s="9">
        <v>1</v>
      </c>
      <c r="F49" s="10">
        <v>4000</v>
      </c>
      <c r="G49" s="10">
        <v>4000</v>
      </c>
      <c r="H49" s="11">
        <v>4000</v>
      </c>
    </row>
    <row r="50" spans="5:8" ht="14.25" customHeight="1" x14ac:dyDescent="0.3">
      <c r="E50" s="21">
        <v>2</v>
      </c>
      <c r="F50" s="22">
        <v>4000</v>
      </c>
      <c r="G50" s="22">
        <v>4000</v>
      </c>
      <c r="H50" s="23">
        <v>4000</v>
      </c>
    </row>
    <row r="51" spans="5:8" ht="14.25" customHeight="1" x14ac:dyDescent="0.3"/>
    <row r="52" spans="5:8" ht="14.25" customHeight="1" x14ac:dyDescent="0.3">
      <c r="E52" s="62" t="s">
        <v>66</v>
      </c>
      <c r="F52" s="63"/>
    </row>
    <row r="53" spans="5:8" ht="14.25" customHeight="1" x14ac:dyDescent="0.3">
      <c r="E53" s="13" t="s">
        <v>65</v>
      </c>
      <c r="F53" s="38">
        <v>2.41</v>
      </c>
    </row>
    <row r="54" spans="5:8" ht="14.25" customHeight="1" x14ac:dyDescent="0.3"/>
    <row r="55" spans="5:8" ht="14.25" customHeight="1" x14ac:dyDescent="0.3"/>
    <row r="56" spans="5:8" ht="14.25" customHeight="1" x14ac:dyDescent="0.3"/>
    <row r="57" spans="5:8" ht="14.25" customHeight="1" x14ac:dyDescent="0.3"/>
    <row r="58" spans="5:8" ht="14.25" customHeight="1" x14ac:dyDescent="0.3"/>
    <row r="59" spans="5:8" ht="14.25" customHeight="1" x14ac:dyDescent="0.3"/>
    <row r="60" spans="5:8" ht="14.25" customHeight="1" x14ac:dyDescent="0.3"/>
    <row r="61" spans="5:8" ht="14.25" customHeight="1" x14ac:dyDescent="0.3"/>
    <row r="62" spans="5:8" ht="14.25" customHeight="1" x14ac:dyDescent="0.3"/>
    <row r="63" spans="5:8" ht="14.25" customHeight="1" x14ac:dyDescent="0.3"/>
    <row r="64" spans="5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E27:Q27"/>
    <mergeCell ref="E46:H46"/>
    <mergeCell ref="E52:F52"/>
  </mergeCells>
  <conditionalFormatting sqref="F48:H50">
    <cfRule type="colorScale" priority="3">
      <colorScale>
        <cfvo type="min"/>
        <cfvo type="max"/>
        <color rgb="FF63BE7B"/>
        <color rgb="FFFCFCFF"/>
      </colorScale>
    </cfRule>
  </conditionalFormatting>
  <conditionalFormatting sqref="F29:Q44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/>
  </sheetPr>
  <dimension ref="A1:J1000"/>
  <sheetViews>
    <sheetView showGridLines="0" tabSelected="1" workbookViewId="0">
      <selection activeCell="M24" sqref="M24"/>
    </sheetView>
  </sheetViews>
  <sheetFormatPr defaultColWidth="12.6640625" defaultRowHeight="15" customHeight="1" outlineLevelRow="1" outlineLevelCol="1" x14ac:dyDescent="0.3"/>
  <cols>
    <col min="1" max="2" width="8.6640625" customWidth="1"/>
    <col min="3" max="3" width="13.21875" customWidth="1"/>
    <col min="4" max="7" width="11.88671875" customWidth="1" outlineLevel="1"/>
    <col min="8" max="26" width="8.6640625" customWidth="1"/>
  </cols>
  <sheetData>
    <row r="1" spans="1:10" ht="14.25" customHeight="1" x14ac:dyDescent="0.3">
      <c r="J1" s="47" t="s">
        <v>71</v>
      </c>
    </row>
    <row r="2" spans="1:10" ht="14.25" customHeight="1" x14ac:dyDescent="0.3">
      <c r="A2" s="48" t="s">
        <v>72</v>
      </c>
      <c r="B2" s="49">
        <v>400</v>
      </c>
      <c r="C2" s="49"/>
      <c r="D2" s="50"/>
      <c r="E2" s="50"/>
      <c r="F2" s="50"/>
      <c r="G2" s="50"/>
    </row>
    <row r="3" spans="1:10" ht="14.25" customHeight="1" collapsed="1" x14ac:dyDescent="0.3">
      <c r="B3" s="51"/>
      <c r="C3" s="51"/>
      <c r="D3" s="52" t="s">
        <v>73</v>
      </c>
      <c r="E3" s="52" t="s">
        <v>74</v>
      </c>
      <c r="F3" s="52" t="s">
        <v>75</v>
      </c>
      <c r="G3" s="52" t="s">
        <v>76</v>
      </c>
    </row>
    <row r="4" spans="1:10" ht="14.25" hidden="1" customHeight="1" outlineLevel="1" x14ac:dyDescent="0.3">
      <c r="A4" s="48" t="s">
        <v>72</v>
      </c>
      <c r="B4" s="53">
        <v>450</v>
      </c>
      <c r="C4" s="53"/>
      <c r="E4" s="54" t="s">
        <v>77</v>
      </c>
      <c r="F4" s="54" t="s">
        <v>77</v>
      </c>
      <c r="G4" s="54" t="s">
        <v>78</v>
      </c>
    </row>
    <row r="5" spans="1:10" ht="14.25" customHeight="1" x14ac:dyDescent="0.3">
      <c r="B5" s="55" t="s">
        <v>79</v>
      </c>
      <c r="C5" s="55"/>
      <c r="D5" s="56"/>
      <c r="E5" s="56"/>
      <c r="F5" s="56"/>
      <c r="G5" s="56"/>
    </row>
    <row r="6" spans="1:10" ht="14.25" customHeight="1" outlineLevel="1" x14ac:dyDescent="0.3">
      <c r="B6" s="53"/>
      <c r="C6" s="53" t="s">
        <v>80</v>
      </c>
      <c r="D6" s="57">
        <v>345</v>
      </c>
      <c r="E6" s="58">
        <v>400</v>
      </c>
      <c r="F6" s="58">
        <v>345</v>
      </c>
      <c r="G6" s="58">
        <v>300</v>
      </c>
    </row>
    <row r="7" spans="1:10" ht="14.25" customHeight="1" outlineLevel="1" x14ac:dyDescent="0.3">
      <c r="B7" s="53"/>
      <c r="C7" s="53" t="s">
        <v>36</v>
      </c>
      <c r="D7" s="57">
        <v>700</v>
      </c>
      <c r="E7" s="58">
        <v>600</v>
      </c>
      <c r="F7" s="58">
        <v>800</v>
      </c>
      <c r="G7" s="58">
        <v>1000</v>
      </c>
    </row>
    <row r="8" spans="1:10" ht="14.25" customHeight="1" outlineLevel="1" x14ac:dyDescent="0.3">
      <c r="B8" s="53"/>
      <c r="C8" s="53" t="s">
        <v>81</v>
      </c>
      <c r="D8" s="57">
        <v>400</v>
      </c>
      <c r="E8" s="58">
        <v>450</v>
      </c>
      <c r="F8" s="58">
        <v>400</v>
      </c>
      <c r="G8" s="58">
        <v>350</v>
      </c>
    </row>
    <row r="9" spans="1:10" ht="14.25" customHeight="1" outlineLevel="1" x14ac:dyDescent="0.3">
      <c r="B9" s="53"/>
      <c r="C9" s="53" t="s">
        <v>82</v>
      </c>
      <c r="D9" s="57">
        <v>4000</v>
      </c>
      <c r="E9" s="58">
        <v>3000</v>
      </c>
      <c r="F9" s="58">
        <v>5000</v>
      </c>
      <c r="G9" s="58">
        <v>6000</v>
      </c>
    </row>
    <row r="10" spans="1:10" ht="14.25" customHeight="1" outlineLevel="1" x14ac:dyDescent="0.3">
      <c r="B10" s="53"/>
      <c r="C10" s="53" t="s">
        <v>83</v>
      </c>
      <c r="D10" s="48">
        <v>4</v>
      </c>
      <c r="E10" s="59">
        <v>2</v>
      </c>
      <c r="F10" s="59">
        <v>3</v>
      </c>
      <c r="G10" s="59">
        <v>6</v>
      </c>
    </row>
    <row r="11" spans="1:10" ht="14.25" customHeight="1" outlineLevel="1" x14ac:dyDescent="0.3">
      <c r="B11" s="53"/>
      <c r="C11" s="53" t="s">
        <v>84</v>
      </c>
      <c r="D11" s="57">
        <v>600</v>
      </c>
      <c r="E11" s="58">
        <v>650</v>
      </c>
      <c r="F11" s="58">
        <v>700</v>
      </c>
      <c r="G11" s="58">
        <v>500</v>
      </c>
    </row>
    <row r="12" spans="1:10" ht="14.25" customHeight="1" outlineLevel="1" x14ac:dyDescent="0.3">
      <c r="B12" s="53"/>
      <c r="C12" s="53" t="s">
        <v>85</v>
      </c>
      <c r="D12" s="57">
        <v>2300</v>
      </c>
      <c r="E12" s="58">
        <v>3000</v>
      </c>
      <c r="F12" s="58">
        <v>2500</v>
      </c>
      <c r="G12" s="58">
        <v>1000</v>
      </c>
    </row>
    <row r="13" spans="1:10" ht="14.25" customHeight="1" collapsed="1" x14ac:dyDescent="0.3">
      <c r="B13" s="55" t="s">
        <v>86</v>
      </c>
      <c r="C13" s="55"/>
      <c r="D13" s="56"/>
      <c r="E13" s="56"/>
      <c r="F13" s="56"/>
      <c r="G13" s="56"/>
    </row>
    <row r="14" spans="1:10" ht="14.25" hidden="1" customHeight="1" outlineLevel="1" x14ac:dyDescent="0.3">
      <c r="B14" s="60"/>
      <c r="C14" s="60" t="s">
        <v>87</v>
      </c>
      <c r="D14" s="61">
        <v>4000</v>
      </c>
      <c r="E14" s="61">
        <v>2000</v>
      </c>
      <c r="F14" s="61">
        <v>5000</v>
      </c>
      <c r="G14" s="61">
        <v>6000</v>
      </c>
    </row>
    <row r="15" spans="1:10" ht="14.25" customHeight="1" x14ac:dyDescent="0.3">
      <c r="B15" s="48" t="s">
        <v>88</v>
      </c>
      <c r="D15" s="16"/>
      <c r="E15" s="16"/>
      <c r="F15" s="16"/>
      <c r="G15" s="16"/>
    </row>
    <row r="16" spans="1:10" ht="14.25" customHeight="1" x14ac:dyDescent="0.3">
      <c r="B16" s="48" t="s">
        <v>89</v>
      </c>
    </row>
    <row r="17" spans="2:7" ht="14.25" customHeight="1" x14ac:dyDescent="0.3">
      <c r="B17" s="48" t="s">
        <v>90</v>
      </c>
    </row>
    <row r="18" spans="2:7" ht="14.25" customHeight="1" x14ac:dyDescent="0.3"/>
    <row r="19" spans="2:7" ht="31.5" customHeight="1" x14ac:dyDescent="0.3">
      <c r="B19" s="66" t="s">
        <v>91</v>
      </c>
      <c r="C19" s="67"/>
      <c r="D19" s="67"/>
      <c r="E19" s="67"/>
      <c r="F19" s="67"/>
      <c r="G19" s="67"/>
    </row>
    <row r="20" spans="2:7" ht="14.25" customHeight="1" x14ac:dyDescent="0.3"/>
    <row r="21" spans="2:7" ht="14.25" customHeight="1" x14ac:dyDescent="0.3"/>
    <row r="22" spans="2:7" ht="14.25" customHeight="1" x14ac:dyDescent="0.3"/>
    <row r="23" spans="2:7" ht="14.25" customHeight="1" x14ac:dyDescent="0.3"/>
    <row r="24" spans="2:7" ht="14.25" customHeight="1" x14ac:dyDescent="0.3"/>
    <row r="25" spans="2:7" ht="14.25" customHeight="1" x14ac:dyDescent="0.3"/>
    <row r="26" spans="2:7" ht="14.25" customHeight="1" x14ac:dyDescent="0.3"/>
    <row r="27" spans="2:7" ht="14.25" customHeight="1" x14ac:dyDescent="0.3"/>
    <row r="28" spans="2:7" ht="14.25" customHeight="1" x14ac:dyDescent="0.3"/>
    <row r="29" spans="2:7" ht="14.25" customHeight="1" x14ac:dyDescent="0.3"/>
    <row r="30" spans="2:7" ht="14.25" customHeight="1" x14ac:dyDescent="0.3"/>
    <row r="31" spans="2:7" ht="14.25" customHeight="1" x14ac:dyDescent="0.3"/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19:G1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C1000"/>
  <sheetViews>
    <sheetView workbookViewId="0"/>
  </sheetViews>
  <sheetFormatPr defaultColWidth="12.6640625" defaultRowHeight="15" customHeight="1" x14ac:dyDescent="0.3"/>
  <cols>
    <col min="1" max="26" width="8.6640625" customWidth="1"/>
  </cols>
  <sheetData>
    <row r="1" spans="2:3" ht="14.25" customHeight="1" x14ac:dyDescent="0.3"/>
    <row r="2" spans="2:3" ht="14.25" customHeight="1" x14ac:dyDescent="0.3">
      <c r="B2" s="68" t="s">
        <v>92</v>
      </c>
      <c r="C2" s="67"/>
    </row>
    <row r="3" spans="2:3" ht="14.25" customHeight="1" x14ac:dyDescent="0.3">
      <c r="B3" s="48" t="s">
        <v>15</v>
      </c>
      <c r="C3" s="48">
        <v>1</v>
      </c>
    </row>
    <row r="4" spans="2:3" ht="14.25" customHeight="1" x14ac:dyDescent="0.3">
      <c r="B4" s="48" t="s">
        <v>16</v>
      </c>
      <c r="C4" s="48">
        <v>2</v>
      </c>
    </row>
    <row r="5" spans="2:3" ht="14.25" customHeight="1" x14ac:dyDescent="0.3">
      <c r="B5" s="48" t="s">
        <v>17</v>
      </c>
      <c r="C5" s="48">
        <v>3</v>
      </c>
    </row>
    <row r="6" spans="2:3" ht="14.25" customHeight="1" x14ac:dyDescent="0.3">
      <c r="B6" s="48" t="s">
        <v>18</v>
      </c>
      <c r="C6" s="48">
        <v>4</v>
      </c>
    </row>
    <row r="7" spans="2:3" ht="14.25" customHeight="1" x14ac:dyDescent="0.3">
      <c r="B7" s="48" t="s">
        <v>19</v>
      </c>
      <c r="C7" s="48">
        <v>5</v>
      </c>
    </row>
    <row r="8" spans="2:3" ht="14.25" customHeight="1" x14ac:dyDescent="0.3">
      <c r="B8" s="48" t="s">
        <v>20</v>
      </c>
      <c r="C8" s="48">
        <v>6</v>
      </c>
    </row>
    <row r="9" spans="2:3" ht="14.25" customHeight="1" x14ac:dyDescent="0.3">
      <c r="B9" s="48" t="s">
        <v>21</v>
      </c>
      <c r="C9" s="48">
        <v>7</v>
      </c>
    </row>
    <row r="10" spans="2:3" ht="14.25" customHeight="1" x14ac:dyDescent="0.3">
      <c r="B10" s="48" t="s">
        <v>22</v>
      </c>
      <c r="C10" s="48">
        <v>8</v>
      </c>
    </row>
    <row r="11" spans="2:3" ht="14.25" customHeight="1" x14ac:dyDescent="0.3">
      <c r="B11" s="48" t="s">
        <v>23</v>
      </c>
      <c r="C11" s="48">
        <v>9</v>
      </c>
    </row>
    <row r="12" spans="2:3" ht="14.25" customHeight="1" x14ac:dyDescent="0.3">
      <c r="B12" s="48" t="s">
        <v>24</v>
      </c>
      <c r="C12" s="48">
        <v>10</v>
      </c>
    </row>
    <row r="13" spans="2:3" ht="14.25" customHeight="1" x14ac:dyDescent="0.3">
      <c r="B13" s="48" t="s">
        <v>25</v>
      </c>
      <c r="C13" s="48">
        <v>11</v>
      </c>
    </row>
    <row r="14" spans="2:3" ht="14.25" customHeight="1" x14ac:dyDescent="0.3">
      <c r="B14" s="48" t="s">
        <v>26</v>
      </c>
      <c r="C14" s="48">
        <v>12</v>
      </c>
    </row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2:C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Aswers</vt:lpstr>
      <vt:lpstr>Model</vt:lpstr>
      <vt:lpstr>Report</vt:lpstr>
      <vt:lpstr>Scenario Summary</vt:lpstr>
      <vt:lpstr>Months</vt:lpstr>
      <vt:lpstr>Apt1_Rent</vt:lpstr>
      <vt:lpstr>Apt2_Rent</vt:lpstr>
      <vt:lpstr>Apt3_Rent</vt:lpstr>
      <vt:lpstr>Monthlist</vt:lpstr>
      <vt:lpstr>Months</vt:lpstr>
      <vt:lpstr>Report!Print_Area</vt:lpstr>
      <vt:lpstr>Refrigerator</vt:lpstr>
      <vt:lpstr>Renovation_cost</vt:lpstr>
      <vt:lpstr>Renovation_lenght</vt:lpstr>
      <vt:lpstr>Model!solver_opt</vt:lpstr>
      <vt:lpstr>Starting_balance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Solomon Mensah</cp:lastModifiedBy>
  <cp:lastPrinted>2026-06-25T02:04:39Z</cp:lastPrinted>
  <dcterms:modified xsi:type="dcterms:W3CDTF">2026-06-25T02:17:07Z</dcterms:modified>
</cp:coreProperties>
</file>